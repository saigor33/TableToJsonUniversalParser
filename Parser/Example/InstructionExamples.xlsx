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MyFolder\Projects\TableToJsonUniversalParser\Repo\Parser\Example\"/>
    </mc:Choice>
  </mc:AlternateContent>
  <xr:revisionPtr revIDLastSave="0" documentId="13_ncr:1_{63E9B106-4942-4A98-9421-6F87C8982255}" xr6:coauthVersionLast="47" xr6:coauthVersionMax="47" xr10:uidLastSave="{00000000-0000-0000-0000-000000000000}"/>
  <bookViews>
    <workbookView xWindow="-120" yWindow="-120" windowWidth="21840" windowHeight="13020" activeTab="4" xr2:uid="{00000000-000D-0000-FFFF-FFFF00000000}"/>
  </bookViews>
  <sheets>
    <sheet name="AliasFuncsLvl0" sheetId="9" r:id="rId1"/>
    <sheet name="AliasFuncsLvl1" sheetId="10" r:id="rId2"/>
    <sheet name="Lvl0" sheetId="1" r:id="rId3"/>
    <sheet name="Lvl1" sheetId="7" r:id="rId4"/>
    <sheet name="Lvl2" sheetId="8" r:id="rId5"/>
  </sheets>
  <definedNames>
    <definedName name="_xlnm._FilterDatabase" localSheetId="4" hidden="1">'Lvl2'!$M$53:$W$75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" i="8" l="1"/>
  <c r="B94" i="8"/>
  <c r="B89" i="8"/>
  <c r="B84" i="8"/>
  <c r="B79" i="8"/>
  <c r="B74" i="8"/>
  <c r="B69" i="8"/>
  <c r="B64" i="8"/>
  <c r="B59" i="8"/>
  <c r="B54" i="8"/>
  <c r="B49" i="8"/>
  <c r="J100" i="8"/>
  <c r="J101" i="8" s="1"/>
  <c r="D101" i="8" s="1" a="1"/>
  <c r="D101" i="8" s="1"/>
  <c r="J95" i="8"/>
  <c r="J96" i="8" s="1"/>
  <c r="D96" i="8" s="1" a="1"/>
  <c r="D96" i="8" s="1"/>
  <c r="J90" i="8"/>
  <c r="J91" i="8" s="1"/>
  <c r="D91" i="8" s="1" a="1"/>
  <c r="D91" i="8" s="1"/>
  <c r="J85" i="8"/>
  <c r="J86" i="8" s="1"/>
  <c r="D86" i="8" s="1" a="1"/>
  <c r="D86" i="8" s="1"/>
  <c r="J80" i="8"/>
  <c r="J81" i="8" s="1"/>
  <c r="D81" i="8" s="1" a="1"/>
  <c r="D81" i="8" s="1"/>
  <c r="J75" i="8"/>
  <c r="J76" i="8" s="1"/>
  <c r="J77" i="8" s="1"/>
  <c r="D77" i="8" s="1" a="1"/>
  <c r="D77" i="8" s="1"/>
  <c r="J70" i="8"/>
  <c r="J71" i="8" s="1"/>
  <c r="D71" i="8" s="1" a="1"/>
  <c r="D71" i="8" s="1"/>
  <c r="J65" i="8"/>
  <c r="J66" i="8" s="1"/>
  <c r="D66" i="8" s="1" a="1"/>
  <c r="D66" i="8" s="1"/>
  <c r="J60" i="8"/>
  <c r="J61" i="8" s="1"/>
  <c r="D61" i="8" s="1" a="1"/>
  <c r="D61" i="8" s="1"/>
  <c r="J55" i="8"/>
  <c r="J56" i="8" s="1"/>
  <c r="D56" i="8" s="1" a="1"/>
  <c r="D56" i="8" s="1"/>
  <c r="J50" i="8"/>
  <c r="J51" i="8" s="1"/>
  <c r="R72" i="8"/>
  <c r="Q72" i="8"/>
  <c r="R70" i="8"/>
  <c r="Q70" i="8"/>
  <c r="R65" i="8"/>
  <c r="Q65" i="8"/>
  <c r="R56" i="8"/>
  <c r="Q56" i="8"/>
  <c r="R75" i="8"/>
  <c r="Q75" i="8"/>
  <c r="R74" i="8"/>
  <c r="Q74" i="8"/>
  <c r="R71" i="8"/>
  <c r="Q71" i="8"/>
  <c r="R66" i="8"/>
  <c r="Q66" i="8"/>
  <c r="R58" i="8"/>
  <c r="Q58" i="8"/>
  <c r="R57" i="8"/>
  <c r="Q57" i="8"/>
  <c r="Q73" i="8"/>
  <c r="Q69" i="8"/>
  <c r="Q64" i="8"/>
  <c r="Q63" i="8"/>
  <c r="Q62" i="8"/>
  <c r="Q61" i="8"/>
  <c r="Q55" i="8"/>
  <c r="Q54" i="8"/>
  <c r="Q68" i="8"/>
  <c r="Q67" i="8"/>
  <c r="Q60" i="8"/>
  <c r="Q59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54" i="8"/>
  <c r="B36" i="7"/>
  <c r="B26" i="7"/>
  <c r="B18" i="8" s="1"/>
  <c r="B27" i="7"/>
  <c r="B19" i="8" s="1"/>
  <c r="B12" i="7"/>
  <c r="B7" i="8" s="1"/>
  <c r="B5" i="7"/>
  <c r="B5" i="8" s="1"/>
  <c r="B7" i="7"/>
  <c r="E75" i="8" l="1" a="1"/>
  <c r="E75" i="8" s="1"/>
  <c r="E65" i="8" a="1"/>
  <c r="E65" i="8" s="1"/>
  <c r="E70" i="8" a="1"/>
  <c r="E70" i="8" s="1"/>
  <c r="E95" i="8" a="1"/>
  <c r="E95" i="8" s="1"/>
  <c r="J52" i="8"/>
  <c r="D51" i="8" a="1"/>
  <c r="D51" i="8" s="1"/>
  <c r="H51" i="8" a="1"/>
  <c r="H51" i="8" s="1"/>
  <c r="I51" i="8" a="1"/>
  <c r="I51" i="8" s="1"/>
  <c r="G51" i="8" a="1"/>
  <c r="G51" i="8" s="1"/>
  <c r="E50" i="8" a="1"/>
  <c r="E50" i="8" s="1"/>
  <c r="D76" i="8" a="1"/>
  <c r="D76" i="8" s="1"/>
  <c r="E55" i="8" a="1"/>
  <c r="E55" i="8" s="1"/>
  <c r="J102" i="8"/>
  <c r="D102" i="8" s="1" a="1"/>
  <c r="D102" i="8" s="1"/>
  <c r="I101" i="8" a="1"/>
  <c r="I101" i="8" s="1"/>
  <c r="H101" i="8" a="1"/>
  <c r="H101" i="8" s="1"/>
  <c r="G101" i="8" a="1"/>
  <c r="G101" i="8" s="1"/>
  <c r="E100" i="8" a="1"/>
  <c r="E100" i="8" s="1"/>
  <c r="E90" i="8" a="1"/>
  <c r="E90" i="8" s="1"/>
  <c r="G76" i="8" a="1"/>
  <c r="G76" i="8" s="1"/>
  <c r="J97" i="8"/>
  <c r="D97" i="8" s="1" a="1"/>
  <c r="D97" i="8" s="1"/>
  <c r="I96" i="8" a="1"/>
  <c r="I96" i="8" s="1"/>
  <c r="H96" i="8" a="1"/>
  <c r="H96" i="8" s="1"/>
  <c r="G96" i="8" a="1"/>
  <c r="G96" i="8" s="1"/>
  <c r="J92" i="8"/>
  <c r="D92" i="8" s="1" a="1"/>
  <c r="D92" i="8" s="1"/>
  <c r="G91" i="8" a="1"/>
  <c r="G91" i="8" s="1"/>
  <c r="I91" i="8" a="1"/>
  <c r="I91" i="8" s="1"/>
  <c r="H91" i="8" a="1"/>
  <c r="H91" i="8" s="1"/>
  <c r="J87" i="8"/>
  <c r="D87" i="8" s="1" a="1"/>
  <c r="D87" i="8" s="1"/>
  <c r="I86" i="8" a="1"/>
  <c r="I86" i="8" s="1"/>
  <c r="G86" i="8" a="1"/>
  <c r="G86" i="8" s="1"/>
  <c r="H86" i="8" a="1"/>
  <c r="H86" i="8" s="1"/>
  <c r="E85" i="8" a="1"/>
  <c r="E85" i="8" s="1"/>
  <c r="J82" i="8"/>
  <c r="D82" i="8" s="1" a="1"/>
  <c r="D82" i="8" s="1"/>
  <c r="I81" i="8" a="1"/>
  <c r="I81" i="8" s="1"/>
  <c r="H81" i="8" a="1"/>
  <c r="H81" i="8" s="1"/>
  <c r="G81" i="8" a="1"/>
  <c r="G81" i="8" s="1"/>
  <c r="E80" i="8" a="1"/>
  <c r="E80" i="8" s="1"/>
  <c r="I77" i="8" a="1"/>
  <c r="I77" i="8" s="1"/>
  <c r="H77" i="8" a="1"/>
  <c r="H77" i="8" s="1"/>
  <c r="G77" i="8" a="1"/>
  <c r="G77" i="8" s="1"/>
  <c r="H76" i="8" a="1"/>
  <c r="H76" i="8" s="1"/>
  <c r="I76" i="8" a="1"/>
  <c r="I76" i="8" s="1"/>
  <c r="J72" i="8"/>
  <c r="D72" i="8" s="1" a="1"/>
  <c r="D72" i="8" s="1"/>
  <c r="G71" i="8" a="1"/>
  <c r="G71" i="8" s="1"/>
  <c r="I71" i="8" a="1"/>
  <c r="I71" i="8" s="1"/>
  <c r="H71" i="8" a="1"/>
  <c r="H71" i="8" s="1"/>
  <c r="J67" i="8"/>
  <c r="D67" i="8" s="1" a="1"/>
  <c r="D67" i="8" s="1"/>
  <c r="I66" i="8" a="1"/>
  <c r="I66" i="8" s="1"/>
  <c r="H66" i="8" a="1"/>
  <c r="H66" i="8" s="1"/>
  <c r="G66" i="8" a="1"/>
  <c r="G66" i="8" s="1"/>
  <c r="J62" i="8"/>
  <c r="D62" i="8" s="1" a="1"/>
  <c r="D62" i="8" s="1"/>
  <c r="I61" i="8" a="1"/>
  <c r="I61" i="8" s="1"/>
  <c r="H61" i="8" a="1"/>
  <c r="H61" i="8" s="1"/>
  <c r="G61" i="8" a="1"/>
  <c r="G61" i="8" s="1"/>
  <c r="E60" i="8" a="1"/>
  <c r="E60" i="8" s="1"/>
  <c r="J57" i="8"/>
  <c r="D57" i="8" s="1" a="1"/>
  <c r="D57" i="8" s="1"/>
  <c r="I56" i="8" a="1"/>
  <c r="I56" i="8" s="1"/>
  <c r="H56" i="8" a="1"/>
  <c r="H56" i="8" s="1"/>
  <c r="G56" i="8" a="1"/>
  <c r="G56" i="8" s="1"/>
  <c r="H52" i="8" l="1" a="1"/>
  <c r="H52" i="8" s="1"/>
  <c r="I52" i="8" a="1"/>
  <c r="I52" i="8" s="1"/>
  <c r="G52" i="8" a="1"/>
  <c r="G52" i="8" s="1"/>
  <c r="D52" i="8" a="1"/>
  <c r="D52" i="8" s="1"/>
  <c r="I102" i="8" a="1"/>
  <c r="I102" i="8" s="1"/>
  <c r="H102" i="8" a="1"/>
  <c r="H102" i="8" s="1"/>
  <c r="G102" i="8" a="1"/>
  <c r="G102" i="8" s="1"/>
  <c r="I97" i="8" a="1"/>
  <c r="I97" i="8" s="1"/>
  <c r="H97" i="8" a="1"/>
  <c r="H97" i="8" s="1"/>
  <c r="G97" i="8" a="1"/>
  <c r="G97" i="8" s="1"/>
  <c r="I92" i="8" a="1"/>
  <c r="I92" i="8" s="1"/>
  <c r="H92" i="8" a="1"/>
  <c r="H92" i="8" s="1"/>
  <c r="G92" i="8" a="1"/>
  <c r="G92" i="8" s="1"/>
  <c r="I87" i="8" a="1"/>
  <c r="I87" i="8" s="1"/>
  <c r="G87" i="8" a="1"/>
  <c r="G87" i="8" s="1"/>
  <c r="H87" i="8" a="1"/>
  <c r="H87" i="8" s="1"/>
  <c r="I82" i="8" a="1"/>
  <c r="I82" i="8" s="1"/>
  <c r="H82" i="8" a="1"/>
  <c r="H82" i="8" s="1"/>
  <c r="G82" i="8" a="1"/>
  <c r="G82" i="8" s="1"/>
  <c r="I72" i="8" a="1"/>
  <c r="I72" i="8" s="1"/>
  <c r="H72" i="8" a="1"/>
  <c r="H72" i="8" s="1"/>
  <c r="G72" i="8" a="1"/>
  <c r="G72" i="8" s="1"/>
  <c r="I67" i="8" a="1"/>
  <c r="I67" i="8" s="1"/>
  <c r="H67" i="8" a="1"/>
  <c r="H67" i="8" s="1"/>
  <c r="G67" i="8" a="1"/>
  <c r="G67" i="8" s="1"/>
  <c r="I62" i="8" a="1"/>
  <c r="I62" i="8" s="1"/>
  <c r="H62" i="8" a="1"/>
  <c r="H62" i="8" s="1"/>
  <c r="G62" i="8" a="1"/>
  <c r="G62" i="8" s="1"/>
  <c r="I57" i="8" a="1"/>
  <c r="I57" i="8" s="1"/>
  <c r="H57" i="8" a="1"/>
  <c r="H57" i="8" s="1"/>
  <c r="G57" i="8" a="1"/>
  <c r="G57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<sst xmlns="http://schemas.openxmlformats.org/spreadsheetml/2006/main" count="646" uniqueCount="204">
  <si>
    <t>ignore</t>
  </si>
  <si>
    <t>id</t>
  </si>
  <si>
    <t>name</t>
  </si>
  <si>
    <t>type</t>
  </si>
  <si>
    <t>value</t>
  </si>
  <si>
    <t>str</t>
  </si>
  <si>
    <t>num</t>
  </si>
  <si>
    <t>example1</t>
  </si>
  <si>
    <t>Igor</t>
  </si>
  <si>
    <t>surname</t>
  </si>
  <si>
    <t>Skladchikov</t>
  </si>
  <si>
    <t>age</t>
  </si>
  <si>
    <t>address</t>
  </si>
  <si>
    <t>ref</t>
  </si>
  <si>
    <t>example1_adress</t>
  </si>
  <si>
    <t>Example1. Parsing target json</t>
  </si>
  <si>
    <t>This row start parsing</t>
  </si>
  <si>
    <t>country</t>
  </si>
  <si>
    <t>Russian</t>
  </si>
  <si>
    <t>city</t>
  </si>
  <si>
    <t>Saint Petersburg</t>
  </si>
  <si>
    <t>example2</t>
  </si>
  <si>
    <t>stringField</t>
  </si>
  <si>
    <t>text</t>
  </si>
  <si>
    <t>numberField</t>
  </si>
  <si>
    <t>booleanField</t>
  </si>
  <si>
    <t>bool</t>
  </si>
  <si>
    <t>nullField</t>
  </si>
  <si>
    <t>objectField</t>
  </si>
  <si>
    <t>arrayField</t>
  </si>
  <si>
    <t>arr</t>
  </si>
  <si>
    <t>example2_arrField</t>
  </si>
  <si>
    <t>example2_objField</t>
  </si>
  <si>
    <t>null</t>
  </si>
  <si>
    <t>subfield1</t>
  </si>
  <si>
    <t>subfield2</t>
  </si>
  <si>
    <t>text1</t>
  </si>
  <si>
    <t>item1</t>
  </si>
  <si>
    <t>item2</t>
  </si>
  <si>
    <t>item3</t>
  </si>
  <si>
    <t>item4</t>
  </si>
  <si>
    <t>item5</t>
  </si>
  <si>
    <t>objArrayField</t>
  </si>
  <si>
    <t>example2_objArrayField</t>
  </si>
  <si>
    <t>example2_objArrayField_item1</t>
  </si>
  <si>
    <t>example2_objArrayField_item2</t>
  </si>
  <si>
    <t>example2_objArrayField_item3</t>
  </si>
  <si>
    <t>Example2. Types variation</t>
  </si>
  <si>
    <t>example3.1</t>
  </si>
  <si>
    <t>Example3.1 Alias function. Semantics without alias func</t>
  </si>
  <si>
    <t>good1</t>
  </si>
  <si>
    <t>good2</t>
  </si>
  <si>
    <t>goods</t>
  </si>
  <si>
    <t>example3.1_good1</t>
  </si>
  <si>
    <t>example3.1_good2</t>
  </si>
  <si>
    <t>example3.1_goods</t>
  </si>
  <si>
    <t>$type</t>
  </si>
  <si>
    <t>GameplayConfigs.HardGoodConfig</t>
  </si>
  <si>
    <t>amount</t>
  </si>
  <si>
    <t>example3.1_goods_item1</t>
  </si>
  <si>
    <t>Example3 Alias function</t>
  </si>
  <si>
    <t>example3.1_goods_item2</t>
  </si>
  <si>
    <t>Example3.2 Alias function. Semantics with alias func</t>
  </si>
  <si>
    <t>example3.2</t>
  </si>
  <si>
    <t>HardGood</t>
  </si>
  <si>
    <t>%amount%</t>
  </si>
  <si>
    <t>aliasFuncArg</t>
  </si>
  <si>
    <t>example3.2_goods</t>
  </si>
  <si>
    <t>funcId</t>
  </si>
  <si>
    <t>Example3.3 Alias function. Json and table alias functions</t>
  </si>
  <si>
    <t>tableAliasFuncField</t>
  </si>
  <si>
    <t>jsonAliasFuncField</t>
  </si>
  <si>
    <t>SoftGood</t>
  </si>
  <si>
    <t>example3.3</t>
  </si>
  <si>
    <t>Example 3.4 Alias function. Anonym args</t>
  </si>
  <si>
    <t>%arg1%</t>
  </si>
  <si>
    <t>%arg2%</t>
  </si>
  <si>
    <t>%arg3%</t>
  </si>
  <si>
    <t>field1</t>
  </si>
  <si>
    <t>field2</t>
  </si>
  <si>
    <t>field3</t>
  </si>
  <si>
    <t>arg1</t>
  </si>
  <si>
    <t>arg2</t>
  </si>
  <si>
    <t>arg3</t>
  </si>
  <si>
    <t>example3.4</t>
  </si>
  <si>
    <t>Example3.4_tableFunc</t>
  </si>
  <si>
    <t>tableFunc</t>
  </si>
  <si>
    <t>jsonFunc</t>
  </si>
  <si>
    <t>Example3.4_jsonFunc</t>
  </si>
  <si>
    <t>Example3.4_jsonFuncWithTypedArg</t>
  </si>
  <si>
    <t>jsonFuncWithTypedArg</t>
  </si>
  <si>
    <t>example3.3.1</t>
  </si>
  <si>
    <t>jsonFuncArgsPositionVariations</t>
  </si>
  <si>
    <t>argsVariations</t>
  </si>
  <si>
    <t>Example3.3.1 Alias function. Json alias funcetions. Arg position variations</t>
  </si>
  <si>
    <t>Example4. Other</t>
  </si>
  <si>
    <t>ignoredFeature1</t>
  </si>
  <si>
    <t>ignoredFeature2</t>
  </si>
  <si>
    <t>season</t>
  </si>
  <si>
    <t>TypeX</t>
  </si>
  <si>
    <t>fiel1</t>
  </si>
  <si>
    <t>field1_1</t>
  </si>
  <si>
    <t>seasonField1</t>
  </si>
  <si>
    <t>seasonField2</t>
  </si>
  <si>
    <t>field41</t>
  </si>
  <si>
    <t>seasonField3Arr</t>
  </si>
  <si>
    <t>field5</t>
  </si>
  <si>
    <t>seasonField5Arr</t>
  </si>
  <si>
    <t>seasonEmptyArr</t>
  </si>
  <si>
    <t>field6</t>
  </si>
  <si>
    <t>seasonArrWithEmptyItems</t>
  </si>
  <si>
    <t>field7</t>
  </si>
  <si>
    <t>seasonEmptyField</t>
  </si>
  <si>
    <t>field8</t>
  </si>
  <si>
    <t>seasonDict</t>
  </si>
  <si>
    <t>field10</t>
  </si>
  <si>
    <t>field12</t>
  </si>
  <si>
    <t>FuncWith2Args</t>
  </si>
  <si>
    <t>field11</t>
  </si>
  <si>
    <t>field13</t>
  </si>
  <si>
    <t>FuncWithFunc</t>
  </si>
  <si>
    <t>field13_2</t>
  </si>
  <si>
    <t>seasonHardGood1000</t>
  </si>
  <si>
    <t>field14</t>
  </si>
  <si>
    <t>FuncWithNextLvlSheet</t>
  </si>
  <si>
    <t>field15</t>
  </si>
  <si>
    <t>FuncWithNextLvlSheetAndArg</t>
  </si>
  <si>
    <t>arg_value</t>
  </si>
  <si>
    <t>field16</t>
  </si>
  <si>
    <t>FuncWithNextLvlSheetAndFuncWithArg</t>
  </si>
  <si>
    <t>field17</t>
  </si>
  <si>
    <t>FuncWithNextLvlSheetAndFuncWithWrapArg</t>
  </si>
  <si>
    <t>wrap_amount_arg</t>
  </si>
  <si>
    <t>field19</t>
  </si>
  <si>
    <t>ExampleExcelAliasFuncWithAnonymArg1</t>
  </si>
  <si>
    <t>field20</t>
  </si>
  <si>
    <t>ExampleExcelAliasFuncWithAnonymArg2</t>
  </si>
  <si>
    <t>test2</t>
  </si>
  <si>
    <t>TypeZ</t>
  </si>
  <si>
    <t>text2</t>
  </si>
  <si>
    <t>arr1</t>
  </si>
  <si>
    <t>arr2</t>
  </si>
  <si>
    <t>seasonField5Arr_item1</t>
  </si>
  <si>
    <t>seasonField5Arr_item2</t>
  </si>
  <si>
    <t>seasonArrWithEmptyItems_item1</t>
  </si>
  <si>
    <t>seasonArrWithEmptyItems_item2</t>
  </si>
  <si>
    <t>Common.GameplayConfigs.Player.Seasons.SeasonConfig</t>
  </si>
  <si>
    <t>seasonDict_item1</t>
  </si>
  <si>
    <t>seasonDict_item2</t>
  </si>
  <si>
    <t xml:space="preserve">field2 </t>
  </si>
  <si>
    <t xml:space="preserve"> field3</t>
  </si>
  <si>
    <t xml:space="preserve">   str</t>
  </si>
  <si>
    <t>field4</t>
  </si>
  <si>
    <t>FuncWithNextLvlSheet_field1</t>
  </si>
  <si>
    <t>FuncWithNextLvlSheetAndArg_field1</t>
  </si>
  <si>
    <t>FuncWithNextLvlSheetAndFuncWithArg_field1</t>
  </si>
  <si>
    <t>FuncWithNextLvlSheetAndFuncWithWrapArg_field1</t>
  </si>
  <si>
    <t>test</t>
  </si>
  <si>
    <t>%arg_value%</t>
  </si>
  <si>
    <t>%wrap_amount_arg%</t>
  </si>
  <si>
    <t>Example5. Semantic with filter formulas</t>
  </si>
  <si>
    <t>season48</t>
  </si>
  <si>
    <t>number</t>
  </si>
  <si>
    <t>stages</t>
  </si>
  <si>
    <t>season48stages</t>
  </si>
  <si>
    <t>stage0</t>
  </si>
  <si>
    <t>stage1</t>
  </si>
  <si>
    <t>stage2</t>
  </si>
  <si>
    <t>stage3</t>
  </si>
  <si>
    <t>stage4</t>
  </si>
  <si>
    <t>stage5</t>
  </si>
  <si>
    <t>stage6</t>
  </si>
  <si>
    <t>stage7</t>
  </si>
  <si>
    <t>stage8</t>
  </si>
  <si>
    <t>stage9</t>
  </si>
  <si>
    <t>stage10</t>
  </si>
  <si>
    <t>Titlte for stages number →</t>
  </si>
  <si>
    <t>stageNumer</t>
  </si>
  <si>
    <t>Common.GameplayConfigs.Player.Seasons.SeasonConfig+Stage</t>
  </si>
  <si>
    <t>tokens</t>
  </si>
  <si>
    <t>basicReward</t>
  </si>
  <si>
    <t>SeasonLootBoxReward</t>
  </si>
  <si>
    <t>LootBoxSilver</t>
  </si>
  <si>
    <t>For parsing</t>
  </si>
  <si>
    <t>passReward</t>
  </si>
  <si>
    <t>LootBoxGold</t>
  </si>
  <si>
    <t>stage</t>
  </si>
  <si>
    <t>AliasFuncName</t>
  </si>
  <si>
    <t>Tokens</t>
  </si>
  <si>
    <t>isPremium</t>
  </si>
  <si>
    <t>Type</t>
  </si>
  <si>
    <t>Content</t>
  </si>
  <si>
    <t>Count</t>
  </si>
  <si>
    <t>LootBox</t>
  </si>
  <si>
    <t>SeasonWheelTicketsReward</t>
  </si>
  <si>
    <t>Basic</t>
  </si>
  <si>
    <t>WheelTickets</t>
  </si>
  <si>
    <t>SeasonCoreRandomBoosterReward</t>
  </si>
  <si>
    <t>SeasonRandomBooster</t>
  </si>
  <si>
    <t>RandBoosters</t>
  </si>
  <si>
    <t>SeasonHardReward</t>
  </si>
  <si>
    <t>HardCurrency</t>
  </si>
  <si>
    <t>Premium</t>
  </si>
  <si>
    <t>==IF(ROWS(FILTER($R$52:$R$73,($M$52:$M$73=$C49)*($N$52:$N$73=$J49)))=0,"",FILTER($R$52:$R$73,($M$52:$M$73=$C49)*($N$52:$N$73=$J49)))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</si>
</sst>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3" borderId="0" xfId="0" applyFill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2" borderId="0" xfId="0" applyFill="1"/>
    <xf numFmtId="0" fontId="3" fillId="5" borderId="5" xfId="0" applyFont="1" applyFill="1" applyBorder="1"/>
    <xf numFmtId="0" fontId="5" fillId="5" borderId="5" xfId="0" applyFont="1" applyFill="1" applyBorder="1"/>
    <xf numFmtId="0" fontId="3" fillId="5" borderId="5" xfId="0" applyFont="1" applyFill="1" applyBorder="1" applyAlignment="1">
      <alignment horizontal="right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right"/>
    </xf>
    <xf numFmtId="0" fontId="4" fillId="4" borderId="1" xfId="0" applyFont="1" applyFill="1" applyBorder="1"/>
    <xf numFmtId="0" fontId="2" fillId="2" borderId="0" xfId="0" applyFont="1" applyFill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0" fillId="3" borderId="0" xfId="0" applyFill="1" applyAlignment="1">
      <alignment horizontal="left"/>
    </xf>
    <xf numFmtId="0" fontId="3" fillId="6" borderId="5" xfId="0" applyFont="1" applyFill="1" applyBorder="1" applyAlignment="1">
      <alignment horizontal="center" vertical="center"/>
    </xf>
    <xf numFmtId="0" fontId="3" fillId="0" borderId="0" xfId="0" applyFont="1"/>
    <xf numFmtId="0" fontId="0" fillId="2" borderId="0" xfId="0" applyFill="1" applyAlignment="1">
      <alignment horizontal="left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0" borderId="0" xfId="0" quotePrefix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064A-F915-4CEF-AECF-891A15D8C3BB}">
  <dimension ref="A1:I29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22.85546875" customWidth="1"/>
    <col min="2" max="2" width="38.28515625" customWidth="1"/>
    <col min="3" max="3" width="21.42578125" customWidth="1"/>
    <col min="4" max="4" width="18.140625" customWidth="1"/>
    <col min="5" max="5" width="32.42578125" customWidth="1"/>
    <col min="6" max="6" width="14" customWidth="1"/>
  </cols>
  <sheetData>
    <row r="1" spans="1:9" x14ac:dyDescent="0.25">
      <c r="A1" t="s">
        <v>0</v>
      </c>
      <c r="B1" t="s">
        <v>68</v>
      </c>
      <c r="C1" t="s">
        <v>2</v>
      </c>
      <c r="D1" t="s">
        <v>3</v>
      </c>
      <c r="E1" t="s">
        <v>4</v>
      </c>
      <c r="F1" t="s">
        <v>66</v>
      </c>
      <c r="G1" s="3" t="s">
        <v>81</v>
      </c>
      <c r="H1" s="3" t="s">
        <v>82</v>
      </c>
      <c r="I1" s="3" t="s">
        <v>83</v>
      </c>
    </row>
    <row r="5" spans="1:9" s="19" customFormat="1" x14ac:dyDescent="0.25">
      <c r="A5" s="1" t="b">
        <v>1</v>
      </c>
      <c r="B5" s="19" t="s">
        <v>16</v>
      </c>
    </row>
    <row r="6" spans="1:9" x14ac:dyDescent="0.25">
      <c r="B6" t="s">
        <v>64</v>
      </c>
      <c r="C6" t="s">
        <v>56</v>
      </c>
      <c r="D6" t="s">
        <v>5</v>
      </c>
      <c r="E6" t="s">
        <v>57</v>
      </c>
    </row>
    <row r="7" spans="1:9" x14ac:dyDescent="0.25">
      <c r="C7" t="s">
        <v>58</v>
      </c>
      <c r="D7" t="s">
        <v>6</v>
      </c>
      <c r="E7" t="s">
        <v>65</v>
      </c>
    </row>
    <row r="9" spans="1:9" x14ac:dyDescent="0.25">
      <c r="B9" t="s">
        <v>85</v>
      </c>
      <c r="C9" t="s">
        <v>78</v>
      </c>
      <c r="D9" t="s">
        <v>6</v>
      </c>
      <c r="E9" t="s">
        <v>75</v>
      </c>
    </row>
    <row r="10" spans="1:9" x14ac:dyDescent="0.25">
      <c r="C10" t="s">
        <v>79</v>
      </c>
      <c r="D10" t="s">
        <v>5</v>
      </c>
      <c r="E10" t="s">
        <v>76</v>
      </c>
    </row>
    <row r="11" spans="1:9" x14ac:dyDescent="0.25">
      <c r="C11" t="s">
        <v>80</v>
      </c>
      <c r="D11" t="s">
        <v>26</v>
      </c>
      <c r="E11" t="s">
        <v>77</v>
      </c>
    </row>
    <row r="13" spans="1:9" x14ac:dyDescent="0.25">
      <c r="B13" t="s">
        <v>117</v>
      </c>
      <c r="C13" t="s">
        <v>78</v>
      </c>
      <c r="D13" t="s">
        <v>6</v>
      </c>
      <c r="E13" t="s">
        <v>75</v>
      </c>
    </row>
    <row r="14" spans="1:9" x14ac:dyDescent="0.25">
      <c r="C14" t="s">
        <v>79</v>
      </c>
      <c r="D14" t="s">
        <v>6</v>
      </c>
      <c r="E14" t="s">
        <v>76</v>
      </c>
    </row>
    <row r="15" spans="1:9" x14ac:dyDescent="0.25">
      <c r="B15" t="s">
        <v>120</v>
      </c>
      <c r="C15" t="s">
        <v>78</v>
      </c>
      <c r="D15" t="s">
        <v>6</v>
      </c>
      <c r="E15" t="s">
        <v>75</v>
      </c>
    </row>
    <row r="16" spans="1:9" x14ac:dyDescent="0.25">
      <c r="C16" t="s">
        <v>79</v>
      </c>
      <c r="D16" t="s">
        <v>72</v>
      </c>
      <c r="E16" t="s">
        <v>58</v>
      </c>
      <c r="F16" t="s">
        <v>65</v>
      </c>
    </row>
    <row r="17" spans="2:9" x14ac:dyDescent="0.25">
      <c r="B17" t="s">
        <v>124</v>
      </c>
      <c r="C17" t="s">
        <v>78</v>
      </c>
      <c r="D17" t="s">
        <v>13</v>
      </c>
      <c r="E17" t="s">
        <v>153</v>
      </c>
    </row>
    <row r="19" spans="2:9" x14ac:dyDescent="0.25">
      <c r="B19" t="s">
        <v>126</v>
      </c>
      <c r="C19" t="s">
        <v>78</v>
      </c>
      <c r="D19" t="s">
        <v>13</v>
      </c>
      <c r="E19" t="s">
        <v>154</v>
      </c>
    </row>
    <row r="21" spans="2:9" x14ac:dyDescent="0.25">
      <c r="B21" t="s">
        <v>129</v>
      </c>
      <c r="C21" t="s">
        <v>100</v>
      </c>
      <c r="D21" t="s">
        <v>13</v>
      </c>
      <c r="E21" t="s">
        <v>155</v>
      </c>
    </row>
    <row r="22" spans="2:9" x14ac:dyDescent="0.25">
      <c r="B22" t="s">
        <v>131</v>
      </c>
      <c r="C22" t="s">
        <v>100</v>
      </c>
      <c r="D22" t="s">
        <v>13</v>
      </c>
      <c r="E22" t="s">
        <v>156</v>
      </c>
    </row>
    <row r="24" spans="2:9" x14ac:dyDescent="0.25">
      <c r="B24" t="s">
        <v>134</v>
      </c>
      <c r="C24" t="s">
        <v>78</v>
      </c>
      <c r="D24" t="s">
        <v>6</v>
      </c>
      <c r="E24" t="s">
        <v>75</v>
      </c>
    </row>
    <row r="25" spans="2:9" x14ac:dyDescent="0.25">
      <c r="C25" t="s">
        <v>79</v>
      </c>
      <c r="D25" t="s">
        <v>6</v>
      </c>
      <c r="E25" t="s">
        <v>76</v>
      </c>
    </row>
    <row r="26" spans="2:9" x14ac:dyDescent="0.25">
      <c r="C26" t="s">
        <v>80</v>
      </c>
      <c r="D26" t="s">
        <v>6</v>
      </c>
      <c r="E26" t="s">
        <v>77</v>
      </c>
    </row>
    <row r="28" spans="2:9" x14ac:dyDescent="0.25">
      <c r="B28" t="s">
        <v>136</v>
      </c>
      <c r="C28" t="s">
        <v>78</v>
      </c>
      <c r="D28" t="s">
        <v>6</v>
      </c>
      <c r="E28" t="s">
        <v>75</v>
      </c>
    </row>
    <row r="29" spans="2:9" x14ac:dyDescent="0.25">
      <c r="C29" t="s">
        <v>79</v>
      </c>
      <c r="D29" t="s">
        <v>134</v>
      </c>
      <c r="G29" t="s">
        <v>75</v>
      </c>
      <c r="H29" t="s">
        <v>76</v>
      </c>
      <c r="I29" t="s">
        <v>77</v>
      </c>
    </row>
  </sheetData>
  <mergeCells count="1">
    <mergeCell ref="B5:XFD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EAC9-3EBA-4983-ADB3-8E2AA243C0D5}">
  <dimension ref="A1:I14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22.85546875" customWidth="1"/>
    <col min="2" max="2" width="38.28515625" customWidth="1"/>
    <col min="3" max="3" width="21.42578125" customWidth="1"/>
    <col min="4" max="4" width="18.140625" customWidth="1"/>
    <col min="5" max="5" width="32.42578125" customWidth="1"/>
    <col min="6" max="6" width="14" customWidth="1"/>
  </cols>
  <sheetData>
    <row r="1" spans="1:9" x14ac:dyDescent="0.25">
      <c r="A1" t="s">
        <v>0</v>
      </c>
      <c r="B1" t="s">
        <v>68</v>
      </c>
      <c r="C1" t="s">
        <v>2</v>
      </c>
      <c r="D1" t="s">
        <v>3</v>
      </c>
      <c r="E1" t="s">
        <v>4</v>
      </c>
      <c r="F1" t="s">
        <v>66</v>
      </c>
      <c r="G1" s="3" t="s">
        <v>81</v>
      </c>
      <c r="H1" s="3" t="s">
        <v>82</v>
      </c>
      <c r="I1" s="3" t="s">
        <v>83</v>
      </c>
    </row>
    <row r="5" spans="1:9" s="19" customFormat="1" x14ac:dyDescent="0.25">
      <c r="A5" s="1" t="b">
        <v>1</v>
      </c>
      <c r="B5" s="19" t="s">
        <v>16</v>
      </c>
    </row>
    <row r="7" spans="1:9" x14ac:dyDescent="0.25">
      <c r="B7" t="s">
        <v>153</v>
      </c>
      <c r="C7" t="s">
        <v>79</v>
      </c>
      <c r="D7" t="s">
        <v>5</v>
      </c>
      <c r="E7" t="s">
        <v>157</v>
      </c>
    </row>
    <row r="8" spans="1:9" x14ac:dyDescent="0.25">
      <c r="C8" t="s">
        <v>80</v>
      </c>
      <c r="D8" t="s">
        <v>5</v>
      </c>
      <c r="E8" t="s">
        <v>157</v>
      </c>
    </row>
    <row r="10" spans="1:9" x14ac:dyDescent="0.25">
      <c r="B10" t="s">
        <v>154</v>
      </c>
      <c r="C10" t="s">
        <v>79</v>
      </c>
      <c r="D10" t="s">
        <v>5</v>
      </c>
      <c r="E10" t="s">
        <v>158</v>
      </c>
    </row>
    <row r="11" spans="1:9" x14ac:dyDescent="0.25">
      <c r="C11" t="s">
        <v>80</v>
      </c>
      <c r="D11" t="s">
        <v>5</v>
      </c>
      <c r="E11" t="s">
        <v>157</v>
      </c>
    </row>
    <row r="13" spans="1:9" x14ac:dyDescent="0.25">
      <c r="B13" t="s">
        <v>155</v>
      </c>
      <c r="C13" t="s">
        <v>78</v>
      </c>
      <c r="D13" t="s">
        <v>72</v>
      </c>
      <c r="E13" t="s">
        <v>58</v>
      </c>
      <c r="F13" t="s">
        <v>65</v>
      </c>
    </row>
    <row r="14" spans="1:9" x14ac:dyDescent="0.25">
      <c r="B14" t="s">
        <v>156</v>
      </c>
      <c r="C14" t="s">
        <v>78</v>
      </c>
      <c r="D14" t="s">
        <v>72</v>
      </c>
      <c r="E14" t="s">
        <v>58</v>
      </c>
      <c r="F14" t="s">
        <v>159</v>
      </c>
    </row>
  </sheetData>
  <mergeCells count="1">
    <mergeCell ref="B5:XFD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04"/>
  <sheetViews>
    <sheetView workbookViewId="0">
      <pane ySplit="1" topLeftCell="A7" activePane="bottomLeft" state="frozen"/>
      <selection pane="bottomLeft" activeCell="C105" sqref="C105"/>
    </sheetView>
  </sheetViews>
  <sheetFormatPr defaultRowHeight="15" outlineLevelRow="2" x14ac:dyDescent="0.25"/>
  <cols>
    <col min="1" max="1" width="15.85546875" customWidth="1"/>
    <col min="2" max="2" width="17" customWidth="1"/>
    <col min="3" max="3" width="32.42578125" customWidth="1"/>
    <col min="4" max="4" width="33.85546875" customWidth="1"/>
    <col min="5" max="5" width="12.85546875" customWidth="1"/>
    <col min="6" max="6" width="13.85546875" customWidth="1"/>
    <col min="7" max="9" width="9.140625" style="3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s="3" t="s">
        <v>81</v>
      </c>
      <c r="H1" s="3" t="s">
        <v>82</v>
      </c>
      <c r="I1" s="3" t="s">
        <v>83</v>
      </c>
    </row>
    <row r="5" spans="1:12" s="4" customFormat="1" x14ac:dyDescent="0.25">
      <c r="A5" s="1" t="b">
        <v>1</v>
      </c>
      <c r="B5" s="19" t="s">
        <v>16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7" spans="1:12" collapsed="1" x14ac:dyDescent="0.25">
      <c r="A7" s="2" t="b">
        <v>1</v>
      </c>
      <c r="B7" s="23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idden="1" outlineLevel="1" x14ac:dyDescent="0.25">
      <c r="B8" t="s">
        <v>7</v>
      </c>
      <c r="C8" t="s">
        <v>2</v>
      </c>
      <c r="D8" t="s">
        <v>5</v>
      </c>
      <c r="E8" t="s">
        <v>8</v>
      </c>
    </row>
    <row r="9" spans="1:12" hidden="1" outlineLevel="1" x14ac:dyDescent="0.25">
      <c r="C9" t="s">
        <v>9</v>
      </c>
      <c r="D9" t="s">
        <v>5</v>
      </c>
      <c r="E9" t="s">
        <v>10</v>
      </c>
    </row>
    <row r="10" spans="1:12" hidden="1" outlineLevel="1" x14ac:dyDescent="0.25">
      <c r="C10" t="s">
        <v>11</v>
      </c>
      <c r="D10" t="s">
        <v>6</v>
      </c>
      <c r="E10">
        <v>28</v>
      </c>
    </row>
    <row r="11" spans="1:12" hidden="1" outlineLevel="1" x14ac:dyDescent="0.25">
      <c r="C11" t="s">
        <v>12</v>
      </c>
      <c r="D11" t="s">
        <v>13</v>
      </c>
      <c r="E11" t="s">
        <v>14</v>
      </c>
    </row>
    <row r="12" spans="1:12" hidden="1" outlineLevel="1" x14ac:dyDescent="0.25"/>
    <row r="14" spans="1:12" collapsed="1" x14ac:dyDescent="0.25">
      <c r="A14" s="2" t="b">
        <v>1</v>
      </c>
      <c r="B14" s="23" t="s">
        <v>47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idden="1" outlineLevel="1" x14ac:dyDescent="0.25">
      <c r="B15" t="s">
        <v>21</v>
      </c>
      <c r="C15" t="s">
        <v>22</v>
      </c>
      <c r="D15" t="s">
        <v>5</v>
      </c>
      <c r="E15" t="s">
        <v>23</v>
      </c>
    </row>
    <row r="16" spans="1:12" hidden="1" outlineLevel="1" x14ac:dyDescent="0.25">
      <c r="C16" t="s">
        <v>24</v>
      </c>
      <c r="D16" t="s">
        <v>6</v>
      </c>
      <c r="E16">
        <v>123</v>
      </c>
    </row>
    <row r="17" spans="1:12" hidden="1" outlineLevel="1" x14ac:dyDescent="0.25">
      <c r="C17" t="s">
        <v>25</v>
      </c>
      <c r="D17" t="s">
        <v>26</v>
      </c>
      <c r="E17" t="b">
        <v>1</v>
      </c>
    </row>
    <row r="18" spans="1:12" hidden="1" outlineLevel="1" x14ac:dyDescent="0.25">
      <c r="C18" t="s">
        <v>27</v>
      </c>
      <c r="D18" t="s">
        <v>33</v>
      </c>
    </row>
    <row r="19" spans="1:12" hidden="1" outlineLevel="1" x14ac:dyDescent="0.25">
      <c r="C19" t="s">
        <v>28</v>
      </c>
      <c r="D19" t="s">
        <v>13</v>
      </c>
      <c r="E19" t="s">
        <v>32</v>
      </c>
    </row>
    <row r="20" spans="1:12" hidden="1" outlineLevel="1" x14ac:dyDescent="0.25">
      <c r="C20" t="s">
        <v>29</v>
      </c>
      <c r="D20" t="s">
        <v>30</v>
      </c>
      <c r="E20" t="s">
        <v>31</v>
      </c>
    </row>
    <row r="21" spans="1:12" hidden="1" outlineLevel="1" x14ac:dyDescent="0.25">
      <c r="C21" t="s">
        <v>42</v>
      </c>
      <c r="D21" t="s">
        <v>30</v>
      </c>
      <c r="E21" t="s">
        <v>43</v>
      </c>
    </row>
    <row r="22" spans="1:12" hidden="1" outlineLevel="1" x14ac:dyDescent="0.25"/>
    <row r="24" spans="1:12" collapsed="1" x14ac:dyDescent="0.25">
      <c r="A24" s="2" t="b">
        <v>1</v>
      </c>
      <c r="B24" s="23" t="s">
        <v>60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idden="1" outlineLevel="1" x14ac:dyDescent="0.25">
      <c r="A25" s="2" t="b">
        <v>1</v>
      </c>
      <c r="B25" s="23" t="s">
        <v>49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hidden="1" outlineLevel="2" x14ac:dyDescent="0.25"/>
    <row r="27" spans="1:12" hidden="1" outlineLevel="2" x14ac:dyDescent="0.25">
      <c r="B27" t="s">
        <v>48</v>
      </c>
      <c r="C27" t="s">
        <v>50</v>
      </c>
      <c r="D27" t="s">
        <v>13</v>
      </c>
      <c r="E27" t="s">
        <v>53</v>
      </c>
    </row>
    <row r="28" spans="1:12" hidden="1" outlineLevel="2" x14ac:dyDescent="0.25">
      <c r="C28" t="s">
        <v>51</v>
      </c>
      <c r="D28" t="s">
        <v>13</v>
      </c>
      <c r="E28" t="s">
        <v>54</v>
      </c>
    </row>
    <row r="29" spans="1:12" hidden="1" outlineLevel="2" x14ac:dyDescent="0.25">
      <c r="C29" t="s">
        <v>52</v>
      </c>
      <c r="D29" t="s">
        <v>30</v>
      </c>
      <c r="E29" t="s">
        <v>55</v>
      </c>
    </row>
    <row r="30" spans="1:12" hidden="1" outlineLevel="2" x14ac:dyDescent="0.25"/>
    <row r="31" spans="1:12" hidden="1" outlineLevel="1" x14ac:dyDescent="0.25"/>
    <row r="32" spans="1:12" hidden="1" outlineLevel="1" x14ac:dyDescent="0.25">
      <c r="A32" s="2" t="b">
        <v>1</v>
      </c>
      <c r="B32" s="23" t="s">
        <v>62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idden="1" outlineLevel="2" x14ac:dyDescent="0.25"/>
    <row r="34" spans="1:12" hidden="1" outlineLevel="2" x14ac:dyDescent="0.25">
      <c r="B34" t="s">
        <v>63</v>
      </c>
      <c r="C34" t="s">
        <v>50</v>
      </c>
      <c r="D34" t="s">
        <v>64</v>
      </c>
      <c r="E34" t="s">
        <v>58</v>
      </c>
      <c r="F34">
        <v>100</v>
      </c>
    </row>
    <row r="35" spans="1:12" hidden="1" outlineLevel="2" x14ac:dyDescent="0.25">
      <c r="C35" t="s">
        <v>51</v>
      </c>
      <c r="D35" t="s">
        <v>64</v>
      </c>
      <c r="E35" t="s">
        <v>58</v>
      </c>
      <c r="F35">
        <v>350</v>
      </c>
    </row>
    <row r="36" spans="1:12" hidden="1" outlineLevel="2" x14ac:dyDescent="0.25">
      <c r="C36" t="s">
        <v>52</v>
      </c>
      <c r="D36" t="s">
        <v>30</v>
      </c>
      <c r="E36" t="s">
        <v>67</v>
      </c>
    </row>
    <row r="37" spans="1:12" hidden="1" outlineLevel="2" x14ac:dyDescent="0.25"/>
    <row r="38" spans="1:12" hidden="1" outlineLevel="1" x14ac:dyDescent="0.25"/>
    <row r="39" spans="1:12" hidden="1" outlineLevel="1" x14ac:dyDescent="0.25">
      <c r="A39" s="2" t="b">
        <v>1</v>
      </c>
      <c r="B39" s="23" t="s">
        <v>69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hidden="1" outlineLevel="2" x14ac:dyDescent="0.25"/>
    <row r="41" spans="1:12" hidden="1" outlineLevel="2" x14ac:dyDescent="0.25">
      <c r="B41" t="s">
        <v>73</v>
      </c>
      <c r="C41" t="s">
        <v>70</v>
      </c>
      <c r="D41" t="s">
        <v>64</v>
      </c>
      <c r="E41" t="s">
        <v>58</v>
      </c>
      <c r="F41">
        <v>1500</v>
      </c>
    </row>
    <row r="42" spans="1:12" hidden="1" outlineLevel="2" x14ac:dyDescent="0.25">
      <c r="C42" t="s">
        <v>71</v>
      </c>
      <c r="D42" t="s">
        <v>72</v>
      </c>
      <c r="E42" t="s">
        <v>58</v>
      </c>
      <c r="F42">
        <v>1500</v>
      </c>
    </row>
    <row r="43" spans="1:12" hidden="1" outlineLevel="2" x14ac:dyDescent="0.25"/>
    <row r="44" spans="1:12" hidden="1" outlineLevel="1" x14ac:dyDescent="0.25"/>
    <row r="45" spans="1:12" hidden="1" outlineLevel="1" x14ac:dyDescent="0.25">
      <c r="A45" s="2" t="b">
        <v>1</v>
      </c>
      <c r="B45" s="23" t="s">
        <v>94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hidden="1" outlineLevel="2" x14ac:dyDescent="0.25">
      <c r="B46" t="s">
        <v>91</v>
      </c>
      <c r="C46" t="s">
        <v>93</v>
      </c>
      <c r="D46" t="s">
        <v>92</v>
      </c>
      <c r="E46" t="s">
        <v>58</v>
      </c>
      <c r="F46">
        <v>1000</v>
      </c>
    </row>
    <row r="47" spans="1:12" hidden="1" outlineLevel="1" x14ac:dyDescent="0.25"/>
    <row r="48" spans="1:12" hidden="1" outlineLevel="1" x14ac:dyDescent="0.25">
      <c r="A48" s="2" t="b">
        <v>1</v>
      </c>
      <c r="B48" s="23" t="s">
        <v>74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idden="1" outlineLevel="2" x14ac:dyDescent="0.25"/>
    <row r="50" spans="1:12" hidden="1" outlineLevel="2" x14ac:dyDescent="0.25">
      <c r="B50" t="s">
        <v>84</v>
      </c>
      <c r="C50" t="s">
        <v>86</v>
      </c>
      <c r="D50" t="s">
        <v>85</v>
      </c>
      <c r="G50" s="3">
        <v>200</v>
      </c>
      <c r="H50" s="3" t="s">
        <v>23</v>
      </c>
      <c r="I50" t="b">
        <v>1</v>
      </c>
    </row>
    <row r="51" spans="1:12" hidden="1" outlineLevel="2" x14ac:dyDescent="0.25">
      <c r="C51" t="s">
        <v>87</v>
      </c>
      <c r="D51" t="s">
        <v>88</v>
      </c>
      <c r="G51" s="3">
        <v>200</v>
      </c>
      <c r="H51" s="3" t="s">
        <v>23</v>
      </c>
      <c r="I51" t="b">
        <v>1</v>
      </c>
    </row>
    <row r="52" spans="1:12" hidden="1" outlineLevel="2" x14ac:dyDescent="0.25">
      <c r="C52" t="s">
        <v>90</v>
      </c>
      <c r="D52" t="s">
        <v>89</v>
      </c>
      <c r="E52" t="s">
        <v>58</v>
      </c>
      <c r="F52">
        <v>1500</v>
      </c>
      <c r="H52" s="3" t="s">
        <v>23</v>
      </c>
      <c r="I52" t="b">
        <v>0</v>
      </c>
    </row>
    <row r="53" spans="1:12" hidden="1" outlineLevel="2" x14ac:dyDescent="0.25"/>
    <row r="54" spans="1:12" hidden="1" outlineLevel="1" x14ac:dyDescent="0.25"/>
    <row r="56" spans="1:12" collapsed="1" x14ac:dyDescent="0.25">
      <c r="A56" s="2" t="b">
        <v>1</v>
      </c>
      <c r="B56" s="23" t="s">
        <v>95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 hidden="1" outlineLevel="1" x14ac:dyDescent="0.25"/>
    <row r="58" spans="1:12" hidden="1" outlineLevel="1" x14ac:dyDescent="0.25">
      <c r="A58" t="b">
        <v>1</v>
      </c>
      <c r="B58" t="s">
        <v>96</v>
      </c>
      <c r="G58"/>
      <c r="H58"/>
      <c r="I58"/>
    </row>
    <row r="59" spans="1:12" hidden="1" outlineLevel="1" x14ac:dyDescent="0.25">
      <c r="A59" t="b">
        <v>1</v>
      </c>
      <c r="B59" t="s">
        <v>97</v>
      </c>
      <c r="G59"/>
      <c r="H59"/>
      <c r="I59"/>
    </row>
    <row r="60" spans="1:12" hidden="1" outlineLevel="1" x14ac:dyDescent="0.25">
      <c r="A60" t="b">
        <v>0</v>
      </c>
      <c r="B60" t="s">
        <v>98</v>
      </c>
      <c r="C60" t="s">
        <v>3</v>
      </c>
      <c r="D60" t="s">
        <v>5</v>
      </c>
      <c r="E60" t="s">
        <v>99</v>
      </c>
      <c r="G60"/>
      <c r="H60"/>
      <c r="I60"/>
    </row>
    <row r="61" spans="1:12" hidden="1" outlineLevel="1" x14ac:dyDescent="0.25">
      <c r="C61" t="s">
        <v>100</v>
      </c>
      <c r="D61" t="s">
        <v>6</v>
      </c>
      <c r="E61">
        <v>10</v>
      </c>
      <c r="G61"/>
      <c r="H61"/>
      <c r="I61"/>
    </row>
    <row r="62" spans="1:12" hidden="1" outlineLevel="1" x14ac:dyDescent="0.25">
      <c r="C62" t="s">
        <v>101</v>
      </c>
      <c r="D62" t="s">
        <v>33</v>
      </c>
      <c r="G62"/>
      <c r="H62"/>
      <c r="I62"/>
    </row>
    <row r="63" spans="1:12" hidden="1" outlineLevel="1" x14ac:dyDescent="0.25">
      <c r="C63" t="s">
        <v>79</v>
      </c>
      <c r="D63" t="s">
        <v>13</v>
      </c>
      <c r="E63" t="s">
        <v>102</v>
      </c>
      <c r="G63"/>
      <c r="H63"/>
      <c r="I63"/>
    </row>
    <row r="64" spans="1:12" hidden="1" outlineLevel="1" x14ac:dyDescent="0.25">
      <c r="C64" t="s">
        <v>80</v>
      </c>
      <c r="D64" t="s">
        <v>13</v>
      </c>
      <c r="E64" t="s">
        <v>103</v>
      </c>
      <c r="G64"/>
      <c r="H64"/>
      <c r="I64"/>
    </row>
    <row r="65" spans="3:6" customFormat="1" hidden="1" outlineLevel="1" x14ac:dyDescent="0.25">
      <c r="C65" t="s">
        <v>104</v>
      </c>
      <c r="D65" t="s">
        <v>30</v>
      </c>
      <c r="E65" t="s">
        <v>105</v>
      </c>
    </row>
    <row r="66" spans="3:6" customFormat="1" hidden="1" outlineLevel="1" x14ac:dyDescent="0.25">
      <c r="C66" t="s">
        <v>106</v>
      </c>
      <c r="D66" t="s">
        <v>30</v>
      </c>
      <c r="E66" t="s">
        <v>107</v>
      </c>
    </row>
    <row r="67" spans="3:6" customFormat="1" hidden="1" outlineLevel="1" x14ac:dyDescent="0.25">
      <c r="C67" t="s">
        <v>106</v>
      </c>
      <c r="D67" t="s">
        <v>30</v>
      </c>
      <c r="E67" t="s">
        <v>108</v>
      </c>
    </row>
    <row r="68" spans="3:6" customFormat="1" hidden="1" outlineLevel="1" x14ac:dyDescent="0.25">
      <c r="C68" t="s">
        <v>109</v>
      </c>
      <c r="D68" t="s">
        <v>30</v>
      </c>
      <c r="E68" t="s">
        <v>110</v>
      </c>
    </row>
    <row r="69" spans="3:6" customFormat="1" hidden="1" outlineLevel="1" x14ac:dyDescent="0.25">
      <c r="C69" t="s">
        <v>111</v>
      </c>
      <c r="D69" t="s">
        <v>13</v>
      </c>
      <c r="E69" t="s">
        <v>112</v>
      </c>
    </row>
    <row r="70" spans="3:6" customFormat="1" hidden="1" outlineLevel="1" x14ac:dyDescent="0.25">
      <c r="C70" t="s">
        <v>113</v>
      </c>
      <c r="D70" t="s">
        <v>13</v>
      </c>
      <c r="E70" t="s">
        <v>114</v>
      </c>
    </row>
    <row r="71" spans="3:6" customFormat="1" hidden="1" outlineLevel="1" x14ac:dyDescent="0.25">
      <c r="C71" t="s">
        <v>115</v>
      </c>
      <c r="D71" t="s">
        <v>64</v>
      </c>
      <c r="E71" t="s">
        <v>58</v>
      </c>
      <c r="F71">
        <v>1000</v>
      </c>
    </row>
    <row r="72" spans="3:6" customFormat="1" hidden="1" outlineLevel="1" x14ac:dyDescent="0.25"/>
    <row r="73" spans="3:6" customFormat="1" hidden="1" outlineLevel="1" x14ac:dyDescent="0.25">
      <c r="C73" t="s">
        <v>116</v>
      </c>
      <c r="D73" t="s">
        <v>117</v>
      </c>
      <c r="E73" t="s">
        <v>81</v>
      </c>
      <c r="F73">
        <v>123</v>
      </c>
    </row>
    <row r="74" spans="3:6" customFormat="1" hidden="1" outlineLevel="1" x14ac:dyDescent="0.25">
      <c r="E74" t="s">
        <v>82</v>
      </c>
      <c r="F74">
        <v>123</v>
      </c>
    </row>
    <row r="75" spans="3:6" customFormat="1" hidden="1" outlineLevel="1" x14ac:dyDescent="0.25">
      <c r="C75" t="s">
        <v>118</v>
      </c>
      <c r="D75" t="s">
        <v>72</v>
      </c>
      <c r="E75" t="s">
        <v>58</v>
      </c>
      <c r="F75">
        <v>1000</v>
      </c>
    </row>
    <row r="76" spans="3:6" customFormat="1" hidden="1" outlineLevel="1" x14ac:dyDescent="0.25">
      <c r="C76" t="s">
        <v>119</v>
      </c>
      <c r="D76" t="s">
        <v>120</v>
      </c>
      <c r="E76" t="s">
        <v>81</v>
      </c>
      <c r="F76">
        <v>1234</v>
      </c>
    </row>
    <row r="77" spans="3:6" customFormat="1" hidden="1" outlineLevel="1" x14ac:dyDescent="0.25">
      <c r="E77" t="s">
        <v>58</v>
      </c>
      <c r="F77">
        <v>500</v>
      </c>
    </row>
    <row r="78" spans="3:6" customFormat="1" hidden="1" outlineLevel="1" x14ac:dyDescent="0.25">
      <c r="C78" t="s">
        <v>121</v>
      </c>
      <c r="D78" t="s">
        <v>13</v>
      </c>
      <c r="E78" t="s">
        <v>122</v>
      </c>
    </row>
    <row r="79" spans="3:6" customFormat="1" hidden="1" outlineLevel="1" x14ac:dyDescent="0.25"/>
    <row r="80" spans="3:6" customFormat="1" hidden="1" outlineLevel="1" x14ac:dyDescent="0.25">
      <c r="C80" t="s">
        <v>123</v>
      </c>
      <c r="D80" t="s">
        <v>124</v>
      </c>
    </row>
    <row r="81" spans="1:12" hidden="1" outlineLevel="1" x14ac:dyDescent="0.25">
      <c r="G81"/>
      <c r="H81"/>
      <c r="I81"/>
    </row>
    <row r="82" spans="1:12" hidden="1" outlineLevel="1" x14ac:dyDescent="0.25">
      <c r="C82" t="s">
        <v>125</v>
      </c>
      <c r="D82" t="s">
        <v>126</v>
      </c>
      <c r="E82" t="s">
        <v>127</v>
      </c>
      <c r="F82" t="s">
        <v>23</v>
      </c>
      <c r="G82"/>
      <c r="H82"/>
      <c r="I82"/>
    </row>
    <row r="83" spans="1:12" hidden="1" outlineLevel="1" x14ac:dyDescent="0.25">
      <c r="G83"/>
      <c r="H83"/>
      <c r="I83"/>
    </row>
    <row r="84" spans="1:12" hidden="1" outlineLevel="1" x14ac:dyDescent="0.25">
      <c r="C84" t="s">
        <v>128</v>
      </c>
      <c r="D84" t="s">
        <v>129</v>
      </c>
      <c r="E84" t="s">
        <v>58</v>
      </c>
      <c r="F84">
        <v>1500</v>
      </c>
      <c r="G84"/>
      <c r="H84"/>
      <c r="I84"/>
    </row>
    <row r="85" spans="1:12" hidden="1" outlineLevel="1" x14ac:dyDescent="0.25">
      <c r="C85" t="s">
        <v>130</v>
      </c>
      <c r="D85" t="s">
        <v>131</v>
      </c>
      <c r="E85" t="s">
        <v>132</v>
      </c>
      <c r="F85">
        <v>2000</v>
      </c>
      <c r="G85"/>
      <c r="H85"/>
      <c r="I85"/>
    </row>
    <row r="86" spans="1:12" hidden="1" outlineLevel="1" x14ac:dyDescent="0.25">
      <c r="G86"/>
      <c r="H86"/>
      <c r="I86"/>
    </row>
    <row r="87" spans="1:12" hidden="1" outlineLevel="1" x14ac:dyDescent="0.25">
      <c r="C87" t="s">
        <v>133</v>
      </c>
      <c r="D87" t="s">
        <v>134</v>
      </c>
      <c r="G87">
        <v>321</v>
      </c>
      <c r="H87">
        <v>4321</v>
      </c>
      <c r="I87">
        <v>54321</v>
      </c>
    </row>
    <row r="88" spans="1:12" hidden="1" outlineLevel="1" x14ac:dyDescent="0.25">
      <c r="C88" t="s">
        <v>135</v>
      </c>
      <c r="D88" t="s">
        <v>136</v>
      </c>
      <c r="G88">
        <v>987</v>
      </c>
      <c r="H88">
        <v>9876</v>
      </c>
      <c r="I88">
        <v>98765</v>
      </c>
    </row>
    <row r="89" spans="1:12" hidden="1" outlineLevel="1" x14ac:dyDescent="0.25">
      <c r="G89"/>
      <c r="H89"/>
      <c r="I89"/>
    </row>
    <row r="90" spans="1:12" hidden="1" outlineLevel="1" x14ac:dyDescent="0.25">
      <c r="A90" t="b">
        <v>0</v>
      </c>
      <c r="G90"/>
      <c r="H90"/>
      <c r="I90"/>
    </row>
    <row r="91" spans="1:12" hidden="1" outlineLevel="1" x14ac:dyDescent="0.25">
      <c r="A91" t="b">
        <v>0</v>
      </c>
      <c r="B91" t="s">
        <v>137</v>
      </c>
      <c r="C91" t="s">
        <v>3</v>
      </c>
      <c r="D91" t="s">
        <v>5</v>
      </c>
      <c r="E91" t="s">
        <v>138</v>
      </c>
      <c r="G91"/>
      <c r="H91"/>
      <c r="I91"/>
    </row>
    <row r="92" spans="1:12" hidden="1" outlineLevel="1" x14ac:dyDescent="0.25">
      <c r="F92" s="3"/>
      <c r="I92"/>
    </row>
    <row r="93" spans="1:12" ht="15.75" thickBot="1" x14ac:dyDescent="0.3">
      <c r="F93" s="3"/>
      <c r="I93"/>
    </row>
    <row r="94" spans="1:12" ht="15.75" collapsed="1" thickBot="1" x14ac:dyDescent="0.3">
      <c r="A94" s="6" t="b">
        <v>1</v>
      </c>
      <c r="B94" s="20" t="s">
        <v>160</v>
      </c>
      <c r="C94" s="21"/>
      <c r="D94" s="21"/>
      <c r="E94" s="21"/>
      <c r="F94" s="21"/>
      <c r="G94" s="21"/>
      <c r="H94" s="21"/>
      <c r="I94" s="21"/>
      <c r="J94" s="21"/>
      <c r="K94" s="21"/>
      <c r="L94" s="22"/>
    </row>
    <row r="95" spans="1:12" hidden="1" outlineLevel="1" x14ac:dyDescent="0.25">
      <c r="F95" s="3"/>
      <c r="I95"/>
    </row>
    <row r="96" spans="1:12" hidden="1" outlineLevel="1" x14ac:dyDescent="0.25">
      <c r="B96" s="5" t="s">
        <v>161</v>
      </c>
      <c r="C96" s="5" t="s">
        <v>56</v>
      </c>
      <c r="D96" s="5" t="s">
        <v>5</v>
      </c>
      <c r="E96" s="7" t="s">
        <v>146</v>
      </c>
      <c r="F96" s="3"/>
      <c r="I96"/>
    </row>
    <row r="97" spans="2:9" hidden="1" outlineLevel="1" x14ac:dyDescent="0.25">
      <c r="B97" s="5"/>
      <c r="C97" s="5" t="s">
        <v>162</v>
      </c>
      <c r="D97" s="8" t="s">
        <v>6</v>
      </c>
      <c r="E97" s="9">
        <v>48</v>
      </c>
      <c r="F97" s="3"/>
      <c r="I97"/>
    </row>
    <row r="98" spans="2:9" hidden="1" outlineLevel="1" x14ac:dyDescent="0.25">
      <c r="B98" s="5"/>
      <c r="C98" s="5" t="s">
        <v>163</v>
      </c>
      <c r="D98" s="8" t="s">
        <v>30</v>
      </c>
      <c r="E98" s="5" t="s">
        <v>164</v>
      </c>
      <c r="F98" s="3"/>
      <c r="I98"/>
    </row>
    <row r="99" spans="2:9" hidden="1" outlineLevel="1" x14ac:dyDescent="0.25">
      <c r="F99" s="3"/>
      <c r="I99"/>
    </row>
    <row r="100" spans="2:9" x14ac:dyDescent="0.25">
      <c r="F100" s="3"/>
      <c r="I100"/>
    </row>
    <row r="101" spans="2:9" x14ac:dyDescent="0.25">
      <c r="F101" s="3"/>
      <c r="I101"/>
    </row>
    <row r="102" spans="2:9" x14ac:dyDescent="0.25">
      <c r="F102" s="3"/>
      <c r="I102"/>
    </row>
    <row r="103" spans="2:9" x14ac:dyDescent="0.25">
      <c r="F103" s="3"/>
      <c r="I103"/>
    </row>
    <row r="104" spans="2:9" x14ac:dyDescent="0.25">
      <c r="F104" s="3"/>
      <c r="I104"/>
    </row>
  </sheetData>
  <mergeCells count="11">
    <mergeCell ref="B5:L5"/>
    <mergeCell ref="B7:L7"/>
    <mergeCell ref="B14:L14"/>
    <mergeCell ref="B24:L24"/>
    <mergeCell ref="B32:L32"/>
    <mergeCell ref="B94:L94"/>
    <mergeCell ref="B39:L39"/>
    <mergeCell ref="B45:L45"/>
    <mergeCell ref="B25:L25"/>
    <mergeCell ref="B48:L48"/>
    <mergeCell ref="B56:L56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452A-0517-441C-A9CB-5EB42226E399}">
  <sheetPr>
    <outlinePr summaryBelow="0"/>
  </sheetPr>
  <dimension ref="A1:L84"/>
  <sheetViews>
    <sheetView workbookViewId="0">
      <pane ySplit="1" topLeftCell="A4" activePane="bottomLeft" state="frozen"/>
      <selection pane="bottomLeft" activeCell="D92" sqref="D92"/>
    </sheetView>
  </sheetViews>
  <sheetFormatPr defaultRowHeight="15" outlineLevelRow="2" x14ac:dyDescent="0.25"/>
  <cols>
    <col min="1" max="1" width="15.85546875" customWidth="1"/>
    <col min="2" max="2" width="25" customWidth="1"/>
    <col min="3" max="3" width="12.7109375" customWidth="1"/>
    <col min="4" max="4" width="19.42578125" customWidth="1"/>
    <col min="5" max="5" width="34.5703125" customWidth="1"/>
    <col min="6" max="6" width="1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t="s">
        <v>81</v>
      </c>
      <c r="H1" t="s">
        <v>82</v>
      </c>
      <c r="I1" t="s">
        <v>83</v>
      </c>
    </row>
    <row r="5" spans="1:12" s="4" customFormat="1" x14ac:dyDescent="0.25">
      <c r="A5" s="1" t="b">
        <v>1</v>
      </c>
      <c r="B5" s="19" t="str">
        <f>Lvl0!B5</f>
        <v>This row start parsing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7" spans="1:12" collapsed="1" x14ac:dyDescent="0.25">
      <c r="A7" s="2" t="b">
        <v>1</v>
      </c>
      <c r="B7" s="23" t="str">
        <f>Lvl0!B7</f>
        <v>Example1. Parsing target json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idden="1" outlineLevel="1" x14ac:dyDescent="0.25">
      <c r="B8" t="s">
        <v>14</v>
      </c>
      <c r="C8" t="s">
        <v>17</v>
      </c>
      <c r="D8" t="s">
        <v>5</v>
      </c>
      <c r="E8" t="s">
        <v>18</v>
      </c>
    </row>
    <row r="9" spans="1:12" hidden="1" outlineLevel="1" x14ac:dyDescent="0.25">
      <c r="C9" t="s">
        <v>19</v>
      </c>
      <c r="D9" t="s">
        <v>5</v>
      </c>
      <c r="E9" t="s">
        <v>20</v>
      </c>
    </row>
    <row r="10" spans="1:12" hidden="1" outlineLevel="1" x14ac:dyDescent="0.25"/>
    <row r="12" spans="1:12" collapsed="1" x14ac:dyDescent="0.25">
      <c r="A12" s="2" t="b">
        <v>1</v>
      </c>
      <c r="B12" s="23" t="str">
        <f>Lvl0!B14</f>
        <v>Example2. Types variation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idden="1" outlineLevel="1" x14ac:dyDescent="0.25">
      <c r="B13" t="s">
        <v>32</v>
      </c>
      <c r="C13" t="s">
        <v>34</v>
      </c>
      <c r="D13" t="s">
        <v>5</v>
      </c>
      <c r="E13" t="s">
        <v>36</v>
      </c>
    </row>
    <row r="14" spans="1:12" hidden="1" outlineLevel="1" x14ac:dyDescent="0.25">
      <c r="C14" t="s">
        <v>35</v>
      </c>
      <c r="D14" t="s">
        <v>6</v>
      </c>
      <c r="E14">
        <v>12345</v>
      </c>
    </row>
    <row r="15" spans="1:12" hidden="1" outlineLevel="1" x14ac:dyDescent="0.25"/>
    <row r="16" spans="1:12" hidden="1" outlineLevel="1" x14ac:dyDescent="0.25">
      <c r="B16" t="s">
        <v>31</v>
      </c>
      <c r="D16" t="s">
        <v>5</v>
      </c>
      <c r="E16" t="s">
        <v>37</v>
      </c>
    </row>
    <row r="17" spans="1:12" hidden="1" outlineLevel="1" x14ac:dyDescent="0.25">
      <c r="D17" t="s">
        <v>5</v>
      </c>
      <c r="E17" t="s">
        <v>38</v>
      </c>
    </row>
    <row r="18" spans="1:12" hidden="1" outlineLevel="1" x14ac:dyDescent="0.25">
      <c r="D18" t="s">
        <v>5</v>
      </c>
      <c r="E18" t="s">
        <v>39</v>
      </c>
    </row>
    <row r="19" spans="1:12" hidden="1" outlineLevel="1" x14ac:dyDescent="0.25">
      <c r="D19" t="s">
        <v>5</v>
      </c>
      <c r="E19" t="s">
        <v>40</v>
      </c>
    </row>
    <row r="20" spans="1:12" hidden="1" outlineLevel="1" x14ac:dyDescent="0.25">
      <c r="D20" t="s">
        <v>5</v>
      </c>
      <c r="E20" t="s">
        <v>41</v>
      </c>
    </row>
    <row r="21" spans="1:12" hidden="1" outlineLevel="1" x14ac:dyDescent="0.25">
      <c r="B21" t="s">
        <v>43</v>
      </c>
      <c r="D21" t="s">
        <v>13</v>
      </c>
      <c r="E21" t="s">
        <v>44</v>
      </c>
    </row>
    <row r="22" spans="1:12" hidden="1" outlineLevel="1" x14ac:dyDescent="0.25">
      <c r="D22" t="s">
        <v>13</v>
      </c>
      <c r="E22" t="s">
        <v>45</v>
      </c>
    </row>
    <row r="23" spans="1:12" hidden="1" outlineLevel="1" x14ac:dyDescent="0.25">
      <c r="D23" t="s">
        <v>13</v>
      </c>
      <c r="E23" t="s">
        <v>46</v>
      </c>
    </row>
    <row r="24" spans="1:12" hidden="1" outlineLevel="1" x14ac:dyDescent="0.25"/>
    <row r="26" spans="1:12" collapsed="1" x14ac:dyDescent="0.25">
      <c r="A26" s="2" t="b">
        <v>1</v>
      </c>
      <c r="B26" s="23" t="str">
        <f>Lvl0!B24</f>
        <v>Example3 Alias function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2" hidden="1" outlineLevel="1" x14ac:dyDescent="0.25">
      <c r="A27" s="2" t="b">
        <v>1</v>
      </c>
      <c r="B27" s="23" t="str">
        <f>Lvl0!B25</f>
        <v>Example3.1 Alias function. Semantics without alias func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hidden="1" outlineLevel="2" x14ac:dyDescent="0.25"/>
    <row r="29" spans="1:12" hidden="1" outlineLevel="2" x14ac:dyDescent="0.25">
      <c r="B29" t="s">
        <v>53</v>
      </c>
      <c r="C29" t="s">
        <v>56</v>
      </c>
      <c r="D29" t="s">
        <v>5</v>
      </c>
      <c r="E29" t="s">
        <v>57</v>
      </c>
    </row>
    <row r="30" spans="1:12" hidden="1" outlineLevel="2" x14ac:dyDescent="0.25">
      <c r="C30" t="s">
        <v>58</v>
      </c>
      <c r="D30" t="s">
        <v>6</v>
      </c>
      <c r="E30">
        <v>100</v>
      </c>
    </row>
    <row r="31" spans="1:12" hidden="1" outlineLevel="2" x14ac:dyDescent="0.25">
      <c r="B31" t="s">
        <v>54</v>
      </c>
      <c r="C31" t="s">
        <v>56</v>
      </c>
      <c r="D31" t="s">
        <v>5</v>
      </c>
      <c r="E31" t="s">
        <v>57</v>
      </c>
    </row>
    <row r="32" spans="1:12" hidden="1" outlineLevel="2" x14ac:dyDescent="0.25">
      <c r="C32" t="s">
        <v>58</v>
      </c>
      <c r="D32" t="s">
        <v>6</v>
      </c>
      <c r="E32">
        <v>350</v>
      </c>
    </row>
    <row r="33" spans="1:12" hidden="1" outlineLevel="2" x14ac:dyDescent="0.25">
      <c r="B33" t="s">
        <v>55</v>
      </c>
      <c r="D33" t="s">
        <v>13</v>
      </c>
      <c r="E33" t="s">
        <v>59</v>
      </c>
    </row>
    <row r="34" spans="1:12" hidden="1" outlineLevel="2" x14ac:dyDescent="0.25">
      <c r="D34" t="s">
        <v>13</v>
      </c>
      <c r="E34" t="s">
        <v>61</v>
      </c>
    </row>
    <row r="35" spans="1:12" hidden="1" outlineLevel="1" x14ac:dyDescent="0.25"/>
    <row r="36" spans="1:12" hidden="1" outlineLevel="1" x14ac:dyDescent="0.25">
      <c r="A36" s="2" t="b">
        <v>1</v>
      </c>
      <c r="B36" s="23" t="str">
        <f>Lvl0!B32</f>
        <v>Example3.2 Alias function. Semantics with alias func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hidden="1" outlineLevel="2" x14ac:dyDescent="0.25">
      <c r="B37" t="s">
        <v>67</v>
      </c>
      <c r="D37" t="s">
        <v>64</v>
      </c>
      <c r="E37" t="s">
        <v>58</v>
      </c>
      <c r="F37">
        <v>1250</v>
      </c>
    </row>
    <row r="38" spans="1:12" hidden="1" outlineLevel="2" x14ac:dyDescent="0.25">
      <c r="D38" t="s">
        <v>64</v>
      </c>
      <c r="E38" t="s">
        <v>58</v>
      </c>
      <c r="F38">
        <v>500</v>
      </c>
    </row>
    <row r="39" spans="1:12" hidden="1" outlineLevel="2" x14ac:dyDescent="0.25"/>
    <row r="40" spans="1:12" hidden="1" outlineLevel="1" x14ac:dyDescent="0.25"/>
    <row r="42" spans="1:12" collapsed="1" x14ac:dyDescent="0.25">
      <c r="A42" s="2" t="b">
        <v>1</v>
      </c>
      <c r="B42" s="23" t="s">
        <v>95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 hidden="1" outlineLevel="1" x14ac:dyDescent="0.25"/>
    <row r="44" spans="1:12" hidden="1" outlineLevel="1" x14ac:dyDescent="0.25">
      <c r="B44" t="s">
        <v>102</v>
      </c>
      <c r="C44" t="s">
        <v>78</v>
      </c>
      <c r="D44" t="s">
        <v>5</v>
      </c>
      <c r="E44" t="s">
        <v>36</v>
      </c>
    </row>
    <row r="45" spans="1:12" hidden="1" outlineLevel="1" x14ac:dyDescent="0.25">
      <c r="B45" t="s">
        <v>103</v>
      </c>
      <c r="C45" t="s">
        <v>78</v>
      </c>
      <c r="D45" t="s">
        <v>5</v>
      </c>
      <c r="E45" t="s">
        <v>36</v>
      </c>
    </row>
    <row r="46" spans="1:12" hidden="1" outlineLevel="1" x14ac:dyDescent="0.25">
      <c r="C46" t="s">
        <v>79</v>
      </c>
      <c r="D46" t="s">
        <v>5</v>
      </c>
      <c r="E46" t="s">
        <v>139</v>
      </c>
    </row>
    <row r="47" spans="1:12" hidden="1" outlineLevel="1" x14ac:dyDescent="0.25"/>
    <row r="48" spans="1:12" hidden="1" outlineLevel="1" x14ac:dyDescent="0.25">
      <c r="B48" t="s">
        <v>105</v>
      </c>
      <c r="D48" t="s">
        <v>5</v>
      </c>
      <c r="E48" t="s">
        <v>140</v>
      </c>
    </row>
    <row r="49" spans="2:5" hidden="1" outlineLevel="1" x14ac:dyDescent="0.25">
      <c r="D49" t="s">
        <v>5</v>
      </c>
      <c r="E49" t="s">
        <v>141</v>
      </c>
    </row>
    <row r="50" spans="2:5" hidden="1" outlineLevel="1" x14ac:dyDescent="0.25"/>
    <row r="51" spans="2:5" hidden="1" outlineLevel="1" x14ac:dyDescent="0.25"/>
    <row r="52" spans="2:5" hidden="1" outlineLevel="1" x14ac:dyDescent="0.25">
      <c r="B52" t="s">
        <v>107</v>
      </c>
      <c r="D52" t="s">
        <v>13</v>
      </c>
      <c r="E52" t="s">
        <v>142</v>
      </c>
    </row>
    <row r="53" spans="2:5" hidden="1" outlineLevel="1" x14ac:dyDescent="0.25">
      <c r="D53" t="s">
        <v>13</v>
      </c>
      <c r="E53" t="s">
        <v>143</v>
      </c>
    </row>
    <row r="54" spans="2:5" hidden="1" outlineLevel="1" x14ac:dyDescent="0.25"/>
    <row r="55" spans="2:5" hidden="1" outlineLevel="1" x14ac:dyDescent="0.25"/>
    <row r="56" spans="2:5" hidden="1" outlineLevel="1" x14ac:dyDescent="0.25">
      <c r="B56" t="s">
        <v>108</v>
      </c>
    </row>
    <row r="57" spans="2:5" hidden="1" outlineLevel="1" x14ac:dyDescent="0.25"/>
    <row r="58" spans="2:5" hidden="1" outlineLevel="1" x14ac:dyDescent="0.25"/>
    <row r="59" spans="2:5" hidden="1" outlineLevel="1" x14ac:dyDescent="0.25">
      <c r="B59" t="s">
        <v>110</v>
      </c>
      <c r="D59" t="s">
        <v>13</v>
      </c>
      <c r="E59" t="s">
        <v>144</v>
      </c>
    </row>
    <row r="60" spans="2:5" hidden="1" outlineLevel="1" x14ac:dyDescent="0.25">
      <c r="D60" t="s">
        <v>13</v>
      </c>
      <c r="E60" t="s">
        <v>145</v>
      </c>
    </row>
    <row r="61" spans="2:5" hidden="1" outlineLevel="1" x14ac:dyDescent="0.25"/>
    <row r="62" spans="2:5" hidden="1" outlineLevel="1" x14ac:dyDescent="0.25">
      <c r="B62" t="s">
        <v>112</v>
      </c>
    </row>
    <row r="63" spans="2:5" hidden="1" outlineLevel="1" x14ac:dyDescent="0.25"/>
    <row r="64" spans="2:5" hidden="1" outlineLevel="1" x14ac:dyDescent="0.25">
      <c r="B64" t="s">
        <v>114</v>
      </c>
      <c r="C64" t="s">
        <v>56</v>
      </c>
      <c r="D64" t="s">
        <v>5</v>
      </c>
      <c r="E64" s="5" t="s">
        <v>146</v>
      </c>
    </row>
    <row r="65" spans="1:12" hidden="1" outlineLevel="1" x14ac:dyDescent="0.25">
      <c r="C65">
        <v>1</v>
      </c>
      <c r="D65" t="s">
        <v>13</v>
      </c>
      <c r="E65" t="s">
        <v>147</v>
      </c>
    </row>
    <row r="66" spans="1:12" hidden="1" outlineLevel="1" x14ac:dyDescent="0.25">
      <c r="C66">
        <v>2</v>
      </c>
      <c r="D66" t="s">
        <v>13</v>
      </c>
      <c r="E66" t="s">
        <v>148</v>
      </c>
    </row>
    <row r="67" spans="1:12" hidden="1" outlineLevel="1" x14ac:dyDescent="0.25"/>
    <row r="68" spans="1:12" hidden="1" outlineLevel="1" x14ac:dyDescent="0.25">
      <c r="B68" t="s">
        <v>122</v>
      </c>
      <c r="C68" t="s">
        <v>58</v>
      </c>
      <c r="D68" t="s">
        <v>6</v>
      </c>
      <c r="E68">
        <v>1000</v>
      </c>
    </row>
    <row r="69" spans="1:12" hidden="1" outlineLevel="1" x14ac:dyDescent="0.25"/>
    <row r="70" spans="1:12" ht="15.75" thickBot="1" x14ac:dyDescent="0.3"/>
    <row r="71" spans="1:12" ht="15.75" collapsed="1" thickBot="1" x14ac:dyDescent="0.3">
      <c r="A71" s="6" t="b">
        <v>1</v>
      </c>
      <c r="B71" s="20" t="s">
        <v>160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hidden="1" outlineLevel="1" x14ac:dyDescent="0.25"/>
    <row r="73" spans="1:12" hidden="1" outlineLevel="1" x14ac:dyDescent="0.25">
      <c r="B73" s="10" t="s">
        <v>164</v>
      </c>
      <c r="C73" s="10"/>
      <c r="D73" s="10" t="s">
        <v>13</v>
      </c>
      <c r="E73" s="10" t="s">
        <v>165</v>
      </c>
    </row>
    <row r="74" spans="1:12" hidden="1" outlineLevel="1" x14ac:dyDescent="0.25">
      <c r="B74" s="10"/>
      <c r="C74" s="10"/>
      <c r="D74" s="10" t="s">
        <v>13</v>
      </c>
      <c r="E74" s="10" t="s">
        <v>166</v>
      </c>
    </row>
    <row r="75" spans="1:12" hidden="1" outlineLevel="1" x14ac:dyDescent="0.25">
      <c r="B75" s="10"/>
      <c r="C75" s="10"/>
      <c r="D75" s="10" t="s">
        <v>13</v>
      </c>
      <c r="E75" s="10" t="s">
        <v>167</v>
      </c>
    </row>
    <row r="76" spans="1:12" hidden="1" outlineLevel="1" x14ac:dyDescent="0.25">
      <c r="B76" s="10"/>
      <c r="C76" s="10"/>
      <c r="D76" s="10" t="s">
        <v>13</v>
      </c>
      <c r="E76" s="10" t="s">
        <v>168</v>
      </c>
    </row>
    <row r="77" spans="1:12" hidden="1" outlineLevel="1" x14ac:dyDescent="0.25">
      <c r="B77" s="10"/>
      <c r="C77" s="10"/>
      <c r="D77" s="10" t="s">
        <v>13</v>
      </c>
      <c r="E77" s="10" t="s">
        <v>169</v>
      </c>
    </row>
    <row r="78" spans="1:12" hidden="1" outlineLevel="1" x14ac:dyDescent="0.25">
      <c r="B78" s="10"/>
      <c r="C78" s="10"/>
      <c r="D78" s="10" t="s">
        <v>13</v>
      </c>
      <c r="E78" s="10" t="s">
        <v>170</v>
      </c>
    </row>
    <row r="79" spans="1:12" hidden="1" outlineLevel="1" x14ac:dyDescent="0.25">
      <c r="B79" s="10"/>
      <c r="C79" s="10"/>
      <c r="D79" s="10" t="s">
        <v>13</v>
      </c>
      <c r="E79" s="10" t="s">
        <v>171</v>
      </c>
    </row>
    <row r="80" spans="1:12" hidden="1" outlineLevel="1" x14ac:dyDescent="0.25">
      <c r="B80" s="10"/>
      <c r="C80" s="10"/>
      <c r="D80" s="10" t="s">
        <v>13</v>
      </c>
      <c r="E80" s="10" t="s">
        <v>172</v>
      </c>
    </row>
    <row r="81" spans="2:5" hidden="1" outlineLevel="1" x14ac:dyDescent="0.25">
      <c r="B81" s="10"/>
      <c r="C81" s="10"/>
      <c r="D81" s="10" t="s">
        <v>13</v>
      </c>
      <c r="E81" s="10" t="s">
        <v>173</v>
      </c>
    </row>
    <row r="82" spans="2:5" hidden="1" outlineLevel="1" x14ac:dyDescent="0.25">
      <c r="B82" s="10"/>
      <c r="C82" s="10"/>
      <c r="D82" s="10" t="s">
        <v>13</v>
      </c>
      <c r="E82" s="10" t="s">
        <v>174</v>
      </c>
    </row>
    <row r="83" spans="2:5" hidden="1" outlineLevel="1" x14ac:dyDescent="0.25">
      <c r="B83" s="10"/>
      <c r="C83" s="10"/>
      <c r="D83" s="10" t="s">
        <v>13</v>
      </c>
      <c r="E83" s="10" t="s">
        <v>175</v>
      </c>
    </row>
    <row r="84" spans="2:5" hidden="1" outlineLevel="1" x14ac:dyDescent="0.25"/>
  </sheetData>
  <mergeCells count="8">
    <mergeCell ref="B71:L71"/>
    <mergeCell ref="B36:L36"/>
    <mergeCell ref="B42:L42"/>
    <mergeCell ref="B5:L5"/>
    <mergeCell ref="B7:L7"/>
    <mergeCell ref="B12:L12"/>
    <mergeCell ref="B26:L26"/>
    <mergeCell ref="B27:L27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032F-FD98-457B-B53A-409A5704420A}">
  <sheetPr>
    <outlinePr summaryBelow="0"/>
  </sheetPr>
  <dimension ref="A1:W102"/>
  <sheetViews>
    <sheetView tabSelected="1" workbookViewId="0">
      <pane ySplit="1" topLeftCell="A27" activePane="bottomLeft" state="frozen"/>
      <selection pane="bottomLeft" activeCell="G51" sqref="G51"/>
    </sheetView>
  </sheetViews>
  <sheetFormatPr defaultRowHeight="15" outlineLevelRow="2" x14ac:dyDescent="0.25"/>
  <cols>
    <col min="2" max="2" width="33.140625" customWidth="1"/>
    <col min="3" max="3" width="13" customWidth="1"/>
    <col min="4" max="4" width="23.140625" customWidth="1"/>
    <col min="5" max="5" width="35.7109375" customWidth="1"/>
    <col min="6" max="6" width="14.42578125" customWidth="1"/>
    <col min="7" max="7" width="11.85546875" customWidth="1"/>
    <col min="8" max="8" width="17.5703125" customWidth="1"/>
    <col min="9" max="10" width="13.140625" customWidth="1"/>
    <col min="13" max="13" width="14" customWidth="1"/>
    <col min="14" max="14" width="6.7109375" customWidth="1"/>
    <col min="15" max="15" width="32.140625" customWidth="1"/>
    <col min="16" max="16" width="9.140625" customWidth="1"/>
    <col min="17" max="17" width="21.5703125" customWidth="1"/>
    <col min="18" max="18" width="16" customWidth="1"/>
    <col min="20" max="20" width="11.140625" customWidth="1"/>
    <col min="21" max="21" width="15.140625" customWidth="1"/>
    <col min="22" max="22" width="21.5703125" customWidth="1"/>
    <col min="23" max="23" width="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t="s">
        <v>81</v>
      </c>
      <c r="H1" t="s">
        <v>82</v>
      </c>
      <c r="I1" t="s">
        <v>83</v>
      </c>
    </row>
    <row r="5" spans="1:12" x14ac:dyDescent="0.25">
      <c r="A5" s="11" t="b">
        <v>1</v>
      </c>
      <c r="B5" s="26" t="str">
        <f>'Lvl1'!B5:XFD5</f>
        <v>This row start parsing</v>
      </c>
      <c r="C5" s="26"/>
      <c r="D5" s="26"/>
      <c r="E5" s="26"/>
      <c r="F5" s="26"/>
      <c r="G5" s="26"/>
      <c r="H5" s="26"/>
      <c r="I5" s="26"/>
      <c r="J5" s="26"/>
      <c r="K5" s="26"/>
      <c r="L5" s="26"/>
    </row>
    <row r="7" spans="1:12" collapsed="1" x14ac:dyDescent="0.25">
      <c r="A7" s="2" t="b">
        <v>1</v>
      </c>
      <c r="B7" s="23" t="str">
        <f>'Lvl1'!B12:XFD12</f>
        <v>Example2. Types variation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idden="1" outlineLevel="1" x14ac:dyDescent="0.25">
      <c r="B8" t="s">
        <v>44</v>
      </c>
      <c r="C8" t="s">
        <v>34</v>
      </c>
      <c r="D8" t="s">
        <v>5</v>
      </c>
      <c r="E8" t="s">
        <v>23</v>
      </c>
    </row>
    <row r="9" spans="1:12" hidden="1" outlineLevel="1" x14ac:dyDescent="0.25">
      <c r="C9" t="s">
        <v>35</v>
      </c>
      <c r="D9" t="s">
        <v>6</v>
      </c>
      <c r="E9">
        <v>12345</v>
      </c>
    </row>
    <row r="10" spans="1:12" hidden="1" outlineLevel="1" x14ac:dyDescent="0.25"/>
    <row r="11" spans="1:12" hidden="1" outlineLevel="1" x14ac:dyDescent="0.25">
      <c r="B11" t="s">
        <v>45</v>
      </c>
      <c r="C11" t="s">
        <v>34</v>
      </c>
      <c r="D11" t="s">
        <v>26</v>
      </c>
      <c r="E11" t="b">
        <v>1</v>
      </c>
    </row>
    <row r="12" spans="1:12" hidden="1" outlineLevel="1" x14ac:dyDescent="0.25">
      <c r="C12" t="s">
        <v>35</v>
      </c>
      <c r="D12" t="s">
        <v>26</v>
      </c>
      <c r="E12" t="b">
        <v>0</v>
      </c>
    </row>
    <row r="13" spans="1:12" hidden="1" outlineLevel="1" x14ac:dyDescent="0.25"/>
    <row r="14" spans="1:12" hidden="1" outlineLevel="1" x14ac:dyDescent="0.25">
      <c r="B14" t="s">
        <v>46</v>
      </c>
      <c r="C14" t="s">
        <v>34</v>
      </c>
      <c r="D14" t="s">
        <v>33</v>
      </c>
    </row>
    <row r="15" spans="1:12" hidden="1" outlineLevel="1" x14ac:dyDescent="0.25">
      <c r="C15" t="s">
        <v>35</v>
      </c>
      <c r="D15" t="s">
        <v>5</v>
      </c>
      <c r="E15" t="s">
        <v>23</v>
      </c>
    </row>
    <row r="16" spans="1:12" hidden="1" outlineLevel="1" x14ac:dyDescent="0.25"/>
    <row r="18" spans="1:15" collapsed="1" x14ac:dyDescent="0.25">
      <c r="A18" s="2" t="b">
        <v>1</v>
      </c>
      <c r="B18" s="23" t="str">
        <f>'Lvl1'!B26</f>
        <v>Example3 Alias function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5" hidden="1" outlineLevel="1" collapsed="1" x14ac:dyDescent="0.25">
      <c r="A19" s="2" t="b">
        <v>1</v>
      </c>
      <c r="B19" s="23" t="str">
        <f>'Lvl1'!B27</f>
        <v>Example3.1 Alias function. Semantics without alias func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5" ht="15" hidden="1" customHeight="1" outlineLevel="2" x14ac:dyDescent="0.25"/>
    <row r="21" spans="1:15" ht="15" hidden="1" customHeight="1" outlineLevel="2" x14ac:dyDescent="0.25">
      <c r="B21" t="s">
        <v>59</v>
      </c>
      <c r="C21" t="s">
        <v>56</v>
      </c>
      <c r="D21" t="s">
        <v>5</v>
      </c>
      <c r="E21" t="s">
        <v>57</v>
      </c>
    </row>
    <row r="22" spans="1:15" ht="15" hidden="1" customHeight="1" outlineLevel="2" x14ac:dyDescent="0.25">
      <c r="C22" t="s">
        <v>58</v>
      </c>
      <c r="D22" t="s">
        <v>6</v>
      </c>
      <c r="E22">
        <v>1250</v>
      </c>
    </row>
    <row r="23" spans="1:15" ht="15" hidden="1" customHeight="1" outlineLevel="2" x14ac:dyDescent="0.25">
      <c r="B23" t="s">
        <v>61</v>
      </c>
      <c r="C23" t="s">
        <v>56</v>
      </c>
      <c r="D23" t="s">
        <v>5</v>
      </c>
      <c r="E23" t="s">
        <v>57</v>
      </c>
    </row>
    <row r="24" spans="1:15" ht="15" hidden="1" customHeight="1" outlineLevel="2" x14ac:dyDescent="0.25">
      <c r="C24" t="s">
        <v>58</v>
      </c>
      <c r="D24" t="s">
        <v>6</v>
      </c>
      <c r="E24">
        <v>500</v>
      </c>
    </row>
    <row r="25" spans="1:15" ht="15" hidden="1" customHeight="1" outlineLevel="2" x14ac:dyDescent="0.25">
      <c r="O25" s="29" t="s">
        <v>203</v>
      </c>
    </row>
    <row r="26" spans="1:15" hidden="1" outlineLevel="1" x14ac:dyDescent="0.25"/>
    <row r="28" spans="1:15" collapsed="1" x14ac:dyDescent="0.25">
      <c r="A28" s="2" t="b">
        <v>1</v>
      </c>
      <c r="B28" s="23" t="s">
        <v>95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5" hidden="1" outlineLevel="1" x14ac:dyDescent="0.25"/>
    <row r="30" spans="1:15" hidden="1" outlineLevel="1" x14ac:dyDescent="0.25">
      <c r="B30" t="s">
        <v>142</v>
      </c>
      <c r="C30" t="s">
        <v>78</v>
      </c>
      <c r="D30" t="s">
        <v>5</v>
      </c>
      <c r="E30" t="s">
        <v>23</v>
      </c>
    </row>
    <row r="31" spans="1:15" hidden="1" outlineLevel="1" x14ac:dyDescent="0.25">
      <c r="C31" t="s">
        <v>149</v>
      </c>
      <c r="D31" t="s">
        <v>6</v>
      </c>
      <c r="E31">
        <v>123</v>
      </c>
    </row>
    <row r="32" spans="1:15" hidden="1" outlineLevel="1" x14ac:dyDescent="0.25"/>
    <row r="33" spans="1:12" hidden="1" outlineLevel="1" x14ac:dyDescent="0.25"/>
    <row r="34" spans="1:12" hidden="1" outlineLevel="1" x14ac:dyDescent="0.25">
      <c r="B34" t="s">
        <v>143</v>
      </c>
      <c r="C34" t="s">
        <v>150</v>
      </c>
      <c r="D34" t="s">
        <v>151</v>
      </c>
      <c r="E34" t="s">
        <v>23</v>
      </c>
    </row>
    <row r="35" spans="1:12" hidden="1" outlineLevel="1" x14ac:dyDescent="0.25">
      <c r="C35" t="s">
        <v>152</v>
      </c>
      <c r="D35" t="s">
        <v>6</v>
      </c>
      <c r="E35">
        <v>123</v>
      </c>
    </row>
    <row r="36" spans="1:12" hidden="1" outlineLevel="1" x14ac:dyDescent="0.25"/>
    <row r="37" spans="1:12" hidden="1" outlineLevel="1" x14ac:dyDescent="0.25"/>
    <row r="38" spans="1:12" hidden="1" outlineLevel="1" x14ac:dyDescent="0.25">
      <c r="B38" t="s">
        <v>144</v>
      </c>
    </row>
    <row r="39" spans="1:12" hidden="1" outlineLevel="1" x14ac:dyDescent="0.25">
      <c r="B39" t="s">
        <v>145</v>
      </c>
    </row>
    <row r="40" spans="1:12" hidden="1" outlineLevel="1" x14ac:dyDescent="0.25"/>
    <row r="41" spans="1:12" hidden="1" outlineLevel="1" x14ac:dyDescent="0.25">
      <c r="B41" t="s">
        <v>147</v>
      </c>
      <c r="C41" t="s">
        <v>78</v>
      </c>
      <c r="D41" t="s">
        <v>5</v>
      </c>
      <c r="E41" t="s">
        <v>23</v>
      </c>
    </row>
    <row r="42" spans="1:12" hidden="1" outlineLevel="1" x14ac:dyDescent="0.25">
      <c r="B42" t="s">
        <v>148</v>
      </c>
      <c r="C42" t="s">
        <v>79</v>
      </c>
      <c r="D42" t="s">
        <v>6</v>
      </c>
      <c r="E42">
        <v>456</v>
      </c>
    </row>
    <row r="43" spans="1:12" hidden="1" outlineLevel="1" x14ac:dyDescent="0.25"/>
    <row r="44" spans="1:12" ht="15.75" thickBot="1" x14ac:dyDescent="0.3"/>
    <row r="45" spans="1:12" ht="15.75" collapsed="1" thickBot="1" x14ac:dyDescent="0.3">
      <c r="A45" s="6" t="b">
        <v>1</v>
      </c>
      <c r="B45" s="20" t="s">
        <v>160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ht="15.75" hidden="1" outlineLevel="1" thickBot="1" x14ac:dyDescent="0.3"/>
    <row r="47" spans="1:12" ht="15.75" hidden="1" outlineLevel="1" thickBot="1" x14ac:dyDescent="0.3">
      <c r="A47" s="30" t="b">
        <v>1</v>
      </c>
      <c r="B47" s="20" t="s">
        <v>176</v>
      </c>
      <c r="C47" s="21"/>
      <c r="D47" s="21"/>
      <c r="E47" s="21"/>
      <c r="F47" s="21"/>
      <c r="G47" s="21"/>
      <c r="H47" s="21"/>
      <c r="I47" s="22"/>
      <c r="J47" s="18" t="s">
        <v>177</v>
      </c>
    </row>
    <row r="48" spans="1:12" hidden="1" outlineLevel="1" x14ac:dyDescent="0.25"/>
    <row r="49" spans="2:23" hidden="1" outlineLevel="1" x14ac:dyDescent="0.25">
      <c r="B49" s="8" t="str">
        <f>_xlfn.CONCAT("stage",J49)</f>
        <v>stage0</v>
      </c>
      <c r="C49" s="8" t="s">
        <v>56</v>
      </c>
      <c r="D49" s="8" t="s">
        <v>5</v>
      </c>
      <c r="E49" s="7" t="s">
        <v>178</v>
      </c>
      <c r="F49" s="5"/>
      <c r="G49" s="5"/>
      <c r="H49" s="5"/>
      <c r="I49" s="5"/>
      <c r="J49">
        <v>0</v>
      </c>
    </row>
    <row r="50" spans="2:23" hidden="1" outlineLevel="1" x14ac:dyDescent="0.25">
      <c r="B50" s="5"/>
      <c r="C50" s="8" t="s">
        <v>179</v>
      </c>
      <c r="D50" s="8" t="s">
        <v>6</v>
      </c>
      <c r="E50" s="8" cm="1">
        <f t="array" ref="E50">_xlfn.TAKE(_xlfn._xlws.FILTER($S$54:$S$75,$N$54:$N$75=J50, TRUE), 1)</f>
        <v>50</v>
      </c>
      <c r="F50" s="5"/>
      <c r="G50" s="5"/>
      <c r="H50" s="5"/>
      <c r="I50" s="5"/>
      <c r="J50">
        <f>J49</f>
        <v>0</v>
      </c>
    </row>
    <row r="51" spans="2:23" hidden="1" outlineLevel="1" x14ac:dyDescent="0.25">
      <c r="B51" s="5"/>
      <c r="C51" s="8" t="s">
        <v>180</v>
      </c>
      <c r="D51" s="5" t="str" cm="1">
        <f t="array" ref="D51">_xlfn._xlws.FILTER($O$54:$O$75, ($M$54:$M$75=$C51)*($N$54:$N$75=$J51))</f>
        <v>SeasonLootBoxReward</v>
      </c>
      <c r="E51" s="5"/>
      <c r="F51" s="5"/>
      <c r="G51" s="5" t="b" cm="1">
        <f t="array" ref="G51">_xlfn._xlws.FILTER($P$54:$P$75, (ISBLANK($P$54:$P$75)=FALSE)*($M$54:$M$75=$C51)*($N$54:$N$75=$J51), "")</f>
        <v>0</v>
      </c>
      <c r="H51" s="5" t="str" cm="1">
        <f t="array" ref="H51">_xlfn._xlws.FILTER($Q$54:$Q$75, (ISBLANK($Q$54:$Q$75)=FALSE)*($M$54:$M$75=$C51)*($N$54:$N$75=$J51), "")</f>
        <v>LootBoxSilver</v>
      </c>
      <c r="I51" s="5" t="str" cm="1">
        <f t="array" ref="I51">_xlfn._xlws.FILTER($R$54:$R$75, (ISBLANK($R$54:$R$75)=FALSE)*($M$54:$M$75=$C51)*($N$54:$N$75=$J51), "")</f>
        <v/>
      </c>
      <c r="J51">
        <f t="shared" ref="J51:J52" si="0">J50</f>
        <v>0</v>
      </c>
    </row>
    <row r="52" spans="2:23" hidden="1" outlineLevel="1" x14ac:dyDescent="0.25">
      <c r="B52" s="5"/>
      <c r="C52" s="5" t="s">
        <v>184</v>
      </c>
      <c r="D52" s="5" t="str" cm="1">
        <f t="array" ref="D52">_xlfn._xlws.FILTER($O$54:$O$75, ($M$54:$M$75=$C52)*($N$54:$N$75=$J52))</f>
        <v>SeasonLootBoxReward</v>
      </c>
      <c r="E52" s="5"/>
      <c r="F52" s="5"/>
      <c r="G52" s="5" t="b" cm="1">
        <f t="array" ref="G52">_xlfn._xlws.FILTER($P$54:$P$75, (ISBLANK($P$54:$P$75)=FALSE)*($M$54:$M$75=$C52)*($N$54:$N$75=$J52), "")</f>
        <v>0</v>
      </c>
      <c r="H52" s="5" t="str" cm="1">
        <f t="array" ref="H52">_xlfn._xlws.FILTER($Q$54:$Q$75, (ISBLANK($Q$54:$Q$75)=FALSE)*($M$54:$M$75=$C52)*($N$54:$N$75=$J52), "")</f>
        <v>LootBoxGold</v>
      </c>
      <c r="I52" s="5" t="str" cm="1">
        <f t="array" ref="I52">_xlfn._xlws.FILTER($R$54:$R$75, (ISBLANK($R$54:$R$75)=FALSE)*($M$54:$M$75=$C52)*($N$54:$N$75=$J52), "")</f>
        <v/>
      </c>
      <c r="J52">
        <f t="shared" si="0"/>
        <v>0</v>
      </c>
      <c r="M52" s="5"/>
      <c r="N52" s="5"/>
      <c r="O52" s="25" t="s">
        <v>183</v>
      </c>
      <c r="P52" s="25"/>
      <c r="Q52" s="25"/>
      <c r="R52" s="25"/>
      <c r="S52" s="5"/>
      <c r="T52" s="5"/>
      <c r="U52" s="5"/>
      <c r="V52" s="5"/>
      <c r="W52" s="5"/>
    </row>
    <row r="53" spans="2:23" hidden="1" outlineLevel="1" x14ac:dyDescent="0.25">
      <c r="M53" s="12"/>
      <c r="N53" s="13" t="s">
        <v>186</v>
      </c>
      <c r="O53" s="13" t="s">
        <v>187</v>
      </c>
      <c r="P53" s="13" t="s">
        <v>81</v>
      </c>
      <c r="Q53" s="13" t="s">
        <v>82</v>
      </c>
      <c r="R53" s="13" t="s">
        <v>83</v>
      </c>
      <c r="S53" s="13" t="s">
        <v>188</v>
      </c>
      <c r="T53" s="13" t="s">
        <v>189</v>
      </c>
      <c r="U53" s="13" t="s">
        <v>190</v>
      </c>
      <c r="V53" s="13" t="s">
        <v>191</v>
      </c>
      <c r="W53" s="13" t="s">
        <v>192</v>
      </c>
    </row>
    <row r="54" spans="2:23" hidden="1" outlineLevel="1" x14ac:dyDescent="0.25">
      <c r="B54" s="8" t="str">
        <f>_xlfn.CONCAT("stage",J54)</f>
        <v>stage1</v>
      </c>
      <c r="C54" s="8" t="s">
        <v>56</v>
      </c>
      <c r="D54" s="8" t="s">
        <v>5</v>
      </c>
      <c r="E54" s="7" t="s">
        <v>178</v>
      </c>
      <c r="F54" s="5"/>
      <c r="G54" s="5"/>
      <c r="H54" s="5"/>
      <c r="I54" s="5"/>
      <c r="J54">
        <v>1</v>
      </c>
      <c r="M54" s="12" t="s">
        <v>180</v>
      </c>
      <c r="N54" s="14">
        <v>0</v>
      </c>
      <c r="O54" s="15" t="s">
        <v>181</v>
      </c>
      <c r="P54" s="15" t="b">
        <f>T54</f>
        <v>0</v>
      </c>
      <c r="Q54" s="15" t="str">
        <f>V54</f>
        <v>LootBoxSilver</v>
      </c>
      <c r="R54" s="15"/>
      <c r="S54" s="27">
        <v>50</v>
      </c>
      <c r="T54" s="16" t="b">
        <v>0</v>
      </c>
      <c r="U54" s="15" t="s">
        <v>193</v>
      </c>
      <c r="V54" s="17" t="s">
        <v>182</v>
      </c>
      <c r="W54" s="15"/>
    </row>
    <row r="55" spans="2:23" hidden="1" outlineLevel="1" x14ac:dyDescent="0.25">
      <c r="B55" s="5"/>
      <c r="C55" s="8" t="s">
        <v>179</v>
      </c>
      <c r="D55" s="8" t="s">
        <v>6</v>
      </c>
      <c r="E55" s="8" cm="1">
        <f t="array" ref="E55">_xlfn.TAKE(_xlfn._xlws.FILTER($S$54:$S$75,$N$54:$N$75=J55, TRUE), 1)</f>
        <v>150</v>
      </c>
      <c r="F55" s="5"/>
      <c r="G55" s="5"/>
      <c r="H55" s="5"/>
      <c r="I55" s="5"/>
      <c r="J55">
        <f>J54</f>
        <v>1</v>
      </c>
      <c r="M55" s="12" t="s">
        <v>184</v>
      </c>
      <c r="N55" s="14">
        <v>0</v>
      </c>
      <c r="O55" s="15" t="s">
        <v>181</v>
      </c>
      <c r="P55" s="15" t="b">
        <f t="shared" ref="P55:P75" si="1">T55</f>
        <v>0</v>
      </c>
      <c r="Q55" s="15" t="str">
        <f>V55</f>
        <v>LootBoxGold</v>
      </c>
      <c r="R55" s="15"/>
      <c r="S55" s="28"/>
      <c r="T55" s="16" t="b">
        <v>0</v>
      </c>
      <c r="U55" s="15" t="s">
        <v>193</v>
      </c>
      <c r="V55" s="17" t="s">
        <v>185</v>
      </c>
      <c r="W55" s="15"/>
    </row>
    <row r="56" spans="2:23" hidden="1" outlineLevel="1" x14ac:dyDescent="0.25">
      <c r="B56" s="5"/>
      <c r="C56" s="8" t="s">
        <v>180</v>
      </c>
      <c r="D56" s="5" t="str" cm="1">
        <f t="array" ref="D56">_xlfn._xlws.FILTER($O$54:$O$75, ($M$54:$M$75=$C56)*($N$54:$N$75=$J56))</f>
        <v>SeasonWheelTicketsReward</v>
      </c>
      <c r="E56" s="5"/>
      <c r="F56" s="5"/>
      <c r="G56" s="5" t="b" cm="1">
        <f t="array" ref="G56">_xlfn._xlws.FILTER($P$54:$P$75, (ISBLANK($P$54:$P$75)=FALSE)*($M$54:$M$75=$C56)*($N$54:$N$75=$J56), "")</f>
        <v>0</v>
      </c>
      <c r="H56" s="5" t="str" cm="1">
        <f t="array" ref="H56">_xlfn._xlws.FILTER($Q$54:$Q$75, (ISBLANK($Q$54:$Q$75)=FALSE)*($M$54:$M$75=$C56)*($N$54:$N$75=$J56), "")</f>
        <v>Basic</v>
      </c>
      <c r="I56" s="5" cm="1">
        <f t="array" ref="I56">_xlfn._xlws.FILTER($R$54:$R$75, (ISBLANK($R$54:$R$75)=FALSE)*($M$54:$M$75=$C56)*($N$54:$N$75=$J56), "")</f>
        <v>1</v>
      </c>
      <c r="J56">
        <f t="shared" ref="J56:J57" si="2">J55</f>
        <v>1</v>
      </c>
      <c r="M56" s="12" t="s">
        <v>180</v>
      </c>
      <c r="N56" s="14">
        <v>1</v>
      </c>
      <c r="O56" s="15" t="s">
        <v>194</v>
      </c>
      <c r="P56" s="15" t="b">
        <f t="shared" si="1"/>
        <v>0</v>
      </c>
      <c r="Q56" s="15" t="str">
        <f>V56</f>
        <v>Basic</v>
      </c>
      <c r="R56" s="15">
        <f>W56</f>
        <v>1</v>
      </c>
      <c r="S56" s="24">
        <v>150</v>
      </c>
      <c r="T56" s="16" t="b">
        <v>0</v>
      </c>
      <c r="U56" s="15" t="s">
        <v>196</v>
      </c>
      <c r="V56" s="17" t="s">
        <v>195</v>
      </c>
      <c r="W56" s="17">
        <v>1</v>
      </c>
    </row>
    <row r="57" spans="2:23" hidden="1" outlineLevel="1" x14ac:dyDescent="0.25">
      <c r="B57" s="5"/>
      <c r="C57" s="5" t="s">
        <v>184</v>
      </c>
      <c r="D57" s="5" t="str" cm="1">
        <f t="array" ref="D57">_xlfn._xlws.FILTER($O$54:$O$75, ($M$54:$M$75=$C57)*($N$54:$N$75=$J57))</f>
        <v>SeasonCoreRandomBoosterReward</v>
      </c>
      <c r="E57" s="5"/>
      <c r="F57" s="5"/>
      <c r="G57" s="5" t="b" cm="1">
        <f t="array" ref="G57">_xlfn._xlws.FILTER($P$54:$P$75, (ISBLANK($P$54:$P$75)=FALSE)*($M$54:$M$75=$C57)*($N$54:$N$75=$J57), "")</f>
        <v>0</v>
      </c>
      <c r="H57" s="5" t="str" cm="1">
        <f t="array" ref="H57">_xlfn._xlws.FILTER($Q$54:$Q$75, (ISBLANK($Q$54:$Q$75)=FALSE)*($M$54:$M$75=$C57)*($N$54:$N$75=$J57), "")</f>
        <v>SeasonRandomBooster</v>
      </c>
      <c r="I57" s="5" cm="1">
        <f t="array" ref="I57">_xlfn._xlws.FILTER($R$54:$R$75, (ISBLANK($R$54:$R$75)=FALSE)*($M$54:$M$75=$C57)*($N$54:$N$75=$J57), "")</f>
        <v>2</v>
      </c>
      <c r="J57">
        <f t="shared" si="2"/>
        <v>1</v>
      </c>
      <c r="M57" s="12" t="s">
        <v>184</v>
      </c>
      <c r="N57" s="14">
        <v>1</v>
      </c>
      <c r="O57" s="15" t="s">
        <v>197</v>
      </c>
      <c r="P57" s="15" t="b">
        <f t="shared" si="1"/>
        <v>0</v>
      </c>
      <c r="Q57" s="15" t="str">
        <f>V57:V75</f>
        <v>SeasonRandomBooster</v>
      </c>
      <c r="R57" s="15">
        <f>W57</f>
        <v>2</v>
      </c>
      <c r="S57" s="24"/>
      <c r="T57" s="16" t="b">
        <v>0</v>
      </c>
      <c r="U57" s="15" t="s">
        <v>199</v>
      </c>
      <c r="V57" s="17" t="s">
        <v>198</v>
      </c>
      <c r="W57" s="17">
        <v>2</v>
      </c>
    </row>
    <row r="58" spans="2:23" hidden="1" outlineLevel="1" x14ac:dyDescent="0.25">
      <c r="M58" s="12" t="s">
        <v>180</v>
      </c>
      <c r="N58" s="14">
        <v>2</v>
      </c>
      <c r="O58" s="15" t="s">
        <v>197</v>
      </c>
      <c r="P58" s="15" t="b">
        <f t="shared" si="1"/>
        <v>0</v>
      </c>
      <c r="Q58" s="15" t="str">
        <f>V58:V76</f>
        <v>SeasonRandomBooster</v>
      </c>
      <c r="R58" s="15">
        <f>W58</f>
        <v>2</v>
      </c>
      <c r="S58" s="24">
        <v>250</v>
      </c>
      <c r="T58" s="16" t="b">
        <v>0</v>
      </c>
      <c r="U58" s="15" t="s">
        <v>199</v>
      </c>
      <c r="V58" s="17" t="s">
        <v>198</v>
      </c>
      <c r="W58" s="17">
        <v>2</v>
      </c>
    </row>
    <row r="59" spans="2:23" hidden="1" outlineLevel="1" x14ac:dyDescent="0.25">
      <c r="B59" s="8" t="str">
        <f>_xlfn.CONCAT("stage",J59)</f>
        <v>stage2</v>
      </c>
      <c r="C59" s="8" t="s">
        <v>56</v>
      </c>
      <c r="D59" s="8" t="s">
        <v>5</v>
      </c>
      <c r="E59" s="7" t="s">
        <v>178</v>
      </c>
      <c r="F59" s="5"/>
      <c r="G59" s="5"/>
      <c r="H59" s="5"/>
      <c r="I59" s="5"/>
      <c r="J59">
        <v>2</v>
      </c>
      <c r="M59" s="12" t="s">
        <v>184</v>
      </c>
      <c r="N59" s="14">
        <v>2</v>
      </c>
      <c r="O59" s="15" t="s">
        <v>200</v>
      </c>
      <c r="P59" s="15" t="b">
        <f t="shared" si="1"/>
        <v>0</v>
      </c>
      <c r="Q59" s="15">
        <f>W59</f>
        <v>100</v>
      </c>
      <c r="R59" s="15"/>
      <c r="S59" s="24"/>
      <c r="T59" s="16" t="b">
        <v>0</v>
      </c>
      <c r="U59" s="15" t="s">
        <v>201</v>
      </c>
      <c r="V59" s="15"/>
      <c r="W59" s="17">
        <v>100</v>
      </c>
    </row>
    <row r="60" spans="2:23" hidden="1" outlineLevel="1" x14ac:dyDescent="0.25">
      <c r="B60" s="5"/>
      <c r="C60" s="8" t="s">
        <v>179</v>
      </c>
      <c r="D60" s="8" t="s">
        <v>6</v>
      </c>
      <c r="E60" s="8" cm="1">
        <f t="array" ref="E60">_xlfn.TAKE(_xlfn._xlws.FILTER($S$54:$S$75,$N$54:$N$75=J60, TRUE), 1)</f>
        <v>250</v>
      </c>
      <c r="F60" s="5"/>
      <c r="G60" s="5"/>
      <c r="H60" s="5"/>
      <c r="I60" s="5"/>
      <c r="J60">
        <f>J59</f>
        <v>2</v>
      </c>
      <c r="M60" s="12" t="s">
        <v>180</v>
      </c>
      <c r="N60" s="14">
        <v>3</v>
      </c>
      <c r="O60" s="15" t="s">
        <v>200</v>
      </c>
      <c r="P60" s="15" t="b">
        <f t="shared" si="1"/>
        <v>0</v>
      </c>
      <c r="Q60" s="15">
        <f>W60</f>
        <v>500</v>
      </c>
      <c r="R60" s="15"/>
      <c r="S60" s="24">
        <v>300</v>
      </c>
      <c r="T60" s="16" t="b">
        <v>0</v>
      </c>
      <c r="U60" s="15" t="s">
        <v>201</v>
      </c>
      <c r="V60" s="15"/>
      <c r="W60" s="17">
        <v>500</v>
      </c>
    </row>
    <row r="61" spans="2:23" hidden="1" outlineLevel="1" x14ac:dyDescent="0.25">
      <c r="B61" s="5"/>
      <c r="C61" s="8" t="s">
        <v>180</v>
      </c>
      <c r="D61" s="5" t="str" cm="1">
        <f t="array" ref="D61">_xlfn._xlws.FILTER($O$54:$O$75, ($M$54:$M$75=$C61)*($N$54:$N$75=$J61))</f>
        <v>SeasonCoreRandomBoosterReward</v>
      </c>
      <c r="E61" s="5"/>
      <c r="F61" s="5"/>
      <c r="G61" s="5" t="b" cm="1">
        <f t="array" ref="G61">_xlfn._xlws.FILTER($P$54:$P$75, (ISBLANK($P$54:$P$75)=FALSE)*($M$54:$M$75=$C61)*($N$54:$N$75=$J61), "")</f>
        <v>0</v>
      </c>
      <c r="H61" s="5" t="str" cm="1">
        <f t="array" ref="H61">_xlfn._xlws.FILTER($Q$54:$Q$75, (ISBLANK($Q$54:$Q$75)=FALSE)*($M$54:$M$75=$C61)*($N$54:$N$75=$J61), "")</f>
        <v>SeasonRandomBooster</v>
      </c>
      <c r="I61" s="5" cm="1">
        <f t="array" ref="I61">_xlfn._xlws.FILTER($R$54:$R$75, (ISBLANK($R$54:$R$75)=FALSE)*($M$54:$M$75=$C61)*($N$54:$N$75=$J61), "")</f>
        <v>2</v>
      </c>
      <c r="J61">
        <f t="shared" ref="J61:J62" si="3">J60</f>
        <v>2</v>
      </c>
      <c r="M61" s="12" t="s">
        <v>184</v>
      </c>
      <c r="N61" s="14">
        <v>3</v>
      </c>
      <c r="O61" s="15" t="s">
        <v>181</v>
      </c>
      <c r="P61" s="15" t="b">
        <f t="shared" si="1"/>
        <v>0</v>
      </c>
      <c r="Q61" s="15" t="str">
        <f t="shared" ref="Q61:Q64" si="4">V61</f>
        <v>LootBoxSilver</v>
      </c>
      <c r="R61" s="15"/>
      <c r="S61" s="24"/>
      <c r="T61" s="16" t="b">
        <v>0</v>
      </c>
      <c r="U61" s="15" t="s">
        <v>193</v>
      </c>
      <c r="V61" s="17" t="s">
        <v>182</v>
      </c>
      <c r="W61" s="15"/>
    </row>
    <row r="62" spans="2:23" hidden="1" outlineLevel="1" x14ac:dyDescent="0.25">
      <c r="B62" s="5"/>
      <c r="C62" s="5" t="s">
        <v>184</v>
      </c>
      <c r="D62" s="5" t="str" cm="1">
        <f t="array" ref="D62">_xlfn._xlws.FILTER($O$54:$O$75, ($M$54:$M$75=$C62)*($N$54:$N$75=$J62))</f>
        <v>SeasonHardReward</v>
      </c>
      <c r="E62" s="5"/>
      <c r="F62" s="5"/>
      <c r="G62" s="5" t="b" cm="1">
        <f t="array" ref="G62">_xlfn._xlws.FILTER($P$54:$P$75, (ISBLANK($P$54:$P$75)=FALSE)*($M$54:$M$75=$C62)*($N$54:$N$75=$J62), "")</f>
        <v>0</v>
      </c>
      <c r="H62" s="5" cm="1">
        <f t="array" ref="H62">_xlfn._xlws.FILTER($Q$54:$Q$75, (ISBLANK($Q$54:$Q$75)=FALSE)*($M$54:$M$75=$C62)*($N$54:$N$75=$J62), "")</f>
        <v>100</v>
      </c>
      <c r="I62" s="5" t="str" cm="1">
        <f t="array" ref="I62">_xlfn._xlws.FILTER($R$54:$R$75, (ISBLANK($R$54:$R$75)=FALSE)*($M$54:$M$75=$C62)*($N$54:$N$75=$J62), "")</f>
        <v/>
      </c>
      <c r="J62">
        <f t="shared" si="3"/>
        <v>2</v>
      </c>
      <c r="M62" s="12" t="s">
        <v>180</v>
      </c>
      <c r="N62" s="14">
        <v>4</v>
      </c>
      <c r="O62" s="15" t="s">
        <v>181</v>
      </c>
      <c r="P62" s="15" t="b">
        <f t="shared" si="1"/>
        <v>0</v>
      </c>
      <c r="Q62" s="15" t="str">
        <f t="shared" si="4"/>
        <v>LootBoxSilver</v>
      </c>
      <c r="R62" s="15"/>
      <c r="S62" s="24">
        <v>350</v>
      </c>
      <c r="T62" s="16" t="b">
        <v>0</v>
      </c>
      <c r="U62" s="15" t="s">
        <v>193</v>
      </c>
      <c r="V62" s="17" t="s">
        <v>182</v>
      </c>
      <c r="W62" s="15"/>
    </row>
    <row r="63" spans="2:23" hidden="1" outlineLevel="1" x14ac:dyDescent="0.25">
      <c r="M63" s="12" t="s">
        <v>184</v>
      </c>
      <c r="N63" s="14">
        <v>4</v>
      </c>
      <c r="O63" s="15" t="s">
        <v>181</v>
      </c>
      <c r="P63" s="15" t="b">
        <f t="shared" si="1"/>
        <v>0</v>
      </c>
      <c r="Q63" s="15" t="str">
        <f t="shared" si="4"/>
        <v>LootBoxGold</v>
      </c>
      <c r="R63" s="15"/>
      <c r="S63" s="24"/>
      <c r="T63" s="16" t="b">
        <v>0</v>
      </c>
      <c r="U63" s="15" t="s">
        <v>193</v>
      </c>
      <c r="V63" s="17" t="s">
        <v>185</v>
      </c>
      <c r="W63" s="15"/>
    </row>
    <row r="64" spans="2:23" hidden="1" outlineLevel="1" x14ac:dyDescent="0.25">
      <c r="B64" s="8" t="str">
        <f>_xlfn.CONCAT("stage",J64)</f>
        <v>stage3</v>
      </c>
      <c r="C64" s="8" t="s">
        <v>56</v>
      </c>
      <c r="D64" s="8" t="s">
        <v>5</v>
      </c>
      <c r="E64" s="7" t="s">
        <v>178</v>
      </c>
      <c r="F64" s="5"/>
      <c r="G64" s="5"/>
      <c r="H64" s="5"/>
      <c r="I64" s="5"/>
      <c r="J64">
        <v>3</v>
      </c>
      <c r="M64" s="12" t="s">
        <v>180</v>
      </c>
      <c r="N64" s="14">
        <v>5</v>
      </c>
      <c r="O64" s="15" t="s">
        <v>181</v>
      </c>
      <c r="P64" s="15" t="b">
        <f t="shared" si="1"/>
        <v>0</v>
      </c>
      <c r="Q64" s="15" t="str">
        <f t="shared" si="4"/>
        <v>LootBoxGold</v>
      </c>
      <c r="R64" s="15"/>
      <c r="S64" s="24">
        <v>400</v>
      </c>
      <c r="T64" s="16" t="b">
        <v>0</v>
      </c>
      <c r="U64" s="15" t="s">
        <v>193</v>
      </c>
      <c r="V64" s="17" t="s">
        <v>185</v>
      </c>
      <c r="W64" s="15"/>
    </row>
    <row r="65" spans="2:23" hidden="1" outlineLevel="1" x14ac:dyDescent="0.25">
      <c r="B65" s="5"/>
      <c r="C65" s="8" t="s">
        <v>179</v>
      </c>
      <c r="D65" s="8" t="s">
        <v>6</v>
      </c>
      <c r="E65" s="8" cm="1">
        <f t="array" ref="E65">_xlfn.TAKE(_xlfn._xlws.FILTER($S$54:$S$75,$N$54:$N$75=J65, TRUE), 1)</f>
        <v>300</v>
      </c>
      <c r="F65" s="5"/>
      <c r="G65" s="5"/>
      <c r="H65" s="5"/>
      <c r="I65" s="5"/>
      <c r="J65">
        <f>J64</f>
        <v>3</v>
      </c>
      <c r="M65" s="12" t="s">
        <v>184</v>
      </c>
      <c r="N65" s="14">
        <v>5</v>
      </c>
      <c r="O65" s="15" t="s">
        <v>194</v>
      </c>
      <c r="P65" s="15" t="b">
        <f t="shared" si="1"/>
        <v>1</v>
      </c>
      <c r="Q65" s="15" t="str">
        <f>V65</f>
        <v>Premium</v>
      </c>
      <c r="R65" s="15">
        <f>W65</f>
        <v>1</v>
      </c>
      <c r="S65" s="24"/>
      <c r="T65" s="16" t="b">
        <v>1</v>
      </c>
      <c r="U65" s="15" t="s">
        <v>196</v>
      </c>
      <c r="V65" s="17" t="s">
        <v>202</v>
      </c>
      <c r="W65" s="17">
        <v>1</v>
      </c>
    </row>
    <row r="66" spans="2:23" hidden="1" outlineLevel="1" x14ac:dyDescent="0.25">
      <c r="B66" s="5"/>
      <c r="C66" s="8" t="s">
        <v>180</v>
      </c>
      <c r="D66" s="5" t="str" cm="1">
        <f t="array" ref="D66">_xlfn._xlws.FILTER($O$54:$O$75, ($M$54:$M$75=$C66)*($N$54:$N$75=$J66))</f>
        <v>SeasonHardReward</v>
      </c>
      <c r="E66" s="5"/>
      <c r="F66" s="5"/>
      <c r="G66" s="5" t="b" cm="1">
        <f t="array" ref="G66">_xlfn._xlws.FILTER($P$54:$P$75, (ISBLANK($P$54:$P$75)=FALSE)*($M$54:$M$75=$C66)*($N$54:$N$75=$J66), "")</f>
        <v>0</v>
      </c>
      <c r="H66" s="5" cm="1">
        <f t="array" ref="H66">_xlfn._xlws.FILTER($Q$54:$Q$75, (ISBLANK($Q$54:$Q$75)=FALSE)*($M$54:$M$75=$C66)*($N$54:$N$75=$J66), "")</f>
        <v>500</v>
      </c>
      <c r="I66" s="5" t="str" cm="1">
        <f t="array" ref="I66">_xlfn._xlws.FILTER($R$54:$R$75, (ISBLANK($R$54:$R$75)=FALSE)*($M$54:$M$75=$C66)*($N$54:$N$75=$J66), "")</f>
        <v/>
      </c>
      <c r="J66">
        <f t="shared" ref="J66:J67" si="5">J65</f>
        <v>3</v>
      </c>
      <c r="M66" s="12" t="s">
        <v>180</v>
      </c>
      <c r="N66" s="14">
        <v>6</v>
      </c>
      <c r="O66" s="15" t="s">
        <v>197</v>
      </c>
      <c r="P66" s="15" t="b">
        <f t="shared" si="1"/>
        <v>0</v>
      </c>
      <c r="Q66" s="15" t="str">
        <f>V66:V84</f>
        <v>SeasonRandomBooster</v>
      </c>
      <c r="R66" s="15">
        <f>W66</f>
        <v>4</v>
      </c>
      <c r="S66" s="24">
        <v>450</v>
      </c>
      <c r="T66" s="16" t="b">
        <v>0</v>
      </c>
      <c r="U66" s="15" t="s">
        <v>199</v>
      </c>
      <c r="V66" s="17" t="s">
        <v>198</v>
      </c>
      <c r="W66" s="17">
        <v>4</v>
      </c>
    </row>
    <row r="67" spans="2:23" hidden="1" outlineLevel="1" x14ac:dyDescent="0.25">
      <c r="B67" s="5"/>
      <c r="C67" s="5" t="s">
        <v>184</v>
      </c>
      <c r="D67" s="5" t="str" cm="1">
        <f t="array" ref="D67">_xlfn._xlws.FILTER($O$54:$O$75, ($M$54:$M$75=$C67)*($N$54:$N$75=$J67))</f>
        <v>SeasonLootBoxReward</v>
      </c>
      <c r="E67" s="5"/>
      <c r="F67" s="5"/>
      <c r="G67" s="5" t="b" cm="1">
        <f t="array" ref="G67">_xlfn._xlws.FILTER($P$54:$P$75, (ISBLANK($P$54:$P$75)=FALSE)*($M$54:$M$75=$C67)*($N$54:$N$75=$J67), "")</f>
        <v>0</v>
      </c>
      <c r="H67" s="5" t="str" cm="1">
        <f t="array" ref="H67">_xlfn._xlws.FILTER($Q$54:$Q$75, (ISBLANK($Q$54:$Q$75)=FALSE)*($M$54:$M$75=$C67)*($N$54:$N$75=$J67), "")</f>
        <v>LootBoxSilver</v>
      </c>
      <c r="I67" s="5" t="str" cm="1">
        <f t="array" ref="I67">_xlfn._xlws.FILTER($R$54:$R$75, (ISBLANK($R$54:$R$75)=FALSE)*($M$54:$M$75=$C67)*($N$54:$N$75=$J67), "")</f>
        <v/>
      </c>
      <c r="J67">
        <f t="shared" si="5"/>
        <v>3</v>
      </c>
      <c r="M67" s="12" t="s">
        <v>184</v>
      </c>
      <c r="N67" s="14">
        <v>6</v>
      </c>
      <c r="O67" s="15" t="s">
        <v>200</v>
      </c>
      <c r="P67" s="15" t="b">
        <f t="shared" si="1"/>
        <v>0</v>
      </c>
      <c r="Q67" s="15">
        <f t="shared" ref="Q67:Q68" si="6">W67</f>
        <v>100</v>
      </c>
      <c r="R67" s="15"/>
      <c r="S67" s="24"/>
      <c r="T67" s="16" t="b">
        <v>0</v>
      </c>
      <c r="U67" s="15" t="s">
        <v>201</v>
      </c>
      <c r="V67" s="15"/>
      <c r="W67" s="17">
        <v>100</v>
      </c>
    </row>
    <row r="68" spans="2:23" hidden="1" outlineLevel="1" x14ac:dyDescent="0.25">
      <c r="M68" s="12" t="s">
        <v>180</v>
      </c>
      <c r="N68" s="14">
        <v>7</v>
      </c>
      <c r="O68" s="15" t="s">
        <v>200</v>
      </c>
      <c r="P68" s="15" t="b">
        <f t="shared" si="1"/>
        <v>0</v>
      </c>
      <c r="Q68" s="15">
        <f t="shared" si="6"/>
        <v>100</v>
      </c>
      <c r="R68" s="15"/>
      <c r="S68" s="24">
        <v>500</v>
      </c>
      <c r="T68" s="16" t="b">
        <v>0</v>
      </c>
      <c r="U68" s="15" t="s">
        <v>201</v>
      </c>
      <c r="V68" s="15"/>
      <c r="W68" s="17">
        <v>100</v>
      </c>
    </row>
    <row r="69" spans="2:23" hidden="1" outlineLevel="1" x14ac:dyDescent="0.25">
      <c r="B69" s="8" t="str">
        <f>_xlfn.CONCAT("stage",J69)</f>
        <v>stage4</v>
      </c>
      <c r="C69" s="8" t="s">
        <v>56</v>
      </c>
      <c r="D69" s="8" t="s">
        <v>5</v>
      </c>
      <c r="E69" s="7" t="s">
        <v>178</v>
      </c>
      <c r="F69" s="5"/>
      <c r="G69" s="5"/>
      <c r="H69" s="5"/>
      <c r="I69" s="5"/>
      <c r="J69">
        <v>4</v>
      </c>
      <c r="M69" s="12" t="s">
        <v>184</v>
      </c>
      <c r="N69" s="14">
        <v>7</v>
      </c>
      <c r="O69" s="15" t="s">
        <v>181</v>
      </c>
      <c r="P69" s="15" t="b">
        <f t="shared" si="1"/>
        <v>0</v>
      </c>
      <c r="Q69" s="15" t="str">
        <f>V69</f>
        <v>LootBoxGold</v>
      </c>
      <c r="R69" s="15"/>
      <c r="S69" s="24"/>
      <c r="T69" s="16" t="b">
        <v>0</v>
      </c>
      <c r="U69" s="15" t="s">
        <v>193</v>
      </c>
      <c r="V69" s="17" t="s">
        <v>185</v>
      </c>
      <c r="W69" s="15"/>
    </row>
    <row r="70" spans="2:23" hidden="1" outlineLevel="1" x14ac:dyDescent="0.25">
      <c r="B70" s="5"/>
      <c r="C70" s="8" t="s">
        <v>179</v>
      </c>
      <c r="D70" s="8" t="s">
        <v>6</v>
      </c>
      <c r="E70" s="8" cm="1">
        <f t="array" ref="E70">_xlfn.TAKE(_xlfn._xlws.FILTER($S$54:$S$75,$N$54:$N$75=J70, TRUE), 1)</f>
        <v>350</v>
      </c>
      <c r="F70" s="5"/>
      <c r="G70" s="5"/>
      <c r="H70" s="5"/>
      <c r="I70" s="5"/>
      <c r="J70">
        <f>J69</f>
        <v>4</v>
      </c>
      <c r="M70" s="12" t="s">
        <v>180</v>
      </c>
      <c r="N70" s="14">
        <v>8</v>
      </c>
      <c r="O70" s="15" t="s">
        <v>194</v>
      </c>
      <c r="P70" s="15" t="b">
        <f t="shared" si="1"/>
        <v>0</v>
      </c>
      <c r="Q70" s="15" t="str">
        <f>V70</f>
        <v>Basic</v>
      </c>
      <c r="R70" s="15">
        <f>W70</f>
        <v>1</v>
      </c>
      <c r="S70" s="24">
        <v>550</v>
      </c>
      <c r="T70" s="16" t="b">
        <v>0</v>
      </c>
      <c r="U70" s="15" t="s">
        <v>196</v>
      </c>
      <c r="V70" s="17" t="s">
        <v>195</v>
      </c>
      <c r="W70" s="17">
        <v>1</v>
      </c>
    </row>
    <row r="71" spans="2:23" hidden="1" outlineLevel="1" x14ac:dyDescent="0.25">
      <c r="B71" s="5"/>
      <c r="C71" s="8" t="s">
        <v>180</v>
      </c>
      <c r="D71" s="5" t="str" cm="1">
        <f t="array" ref="D71">_xlfn._xlws.FILTER($O$54:$O$75, ($M$54:$M$75=$C71)*($N$54:$N$75=$J71))</f>
        <v>SeasonLootBoxReward</v>
      </c>
      <c r="E71" s="5"/>
      <c r="F71" s="5"/>
      <c r="G71" s="5" t="b" cm="1">
        <f t="array" ref="G71">_xlfn._xlws.FILTER($P$54:$P$75, (ISBLANK($P$54:$P$75)=FALSE)*($M$54:$M$75=$C71)*($N$54:$N$75=$J71), "")</f>
        <v>0</v>
      </c>
      <c r="H71" s="5" t="str" cm="1">
        <f t="array" ref="H71">_xlfn._xlws.FILTER($Q$54:$Q$75, (ISBLANK($Q$54:$Q$75)=FALSE)*($M$54:$M$75=$C71)*($N$54:$N$75=$J71), "")</f>
        <v>LootBoxSilver</v>
      </c>
      <c r="I71" s="5" t="str" cm="1">
        <f t="array" ref="I71">_xlfn._xlws.FILTER($R$54:$R$75, (ISBLANK($R$54:$R$75)=FALSE)*($M$54:$M$75=$C71)*($N$54:$N$75=$J71), "")</f>
        <v/>
      </c>
      <c r="J71">
        <f t="shared" ref="J71:J72" si="7">J70</f>
        <v>4</v>
      </c>
      <c r="M71" s="12" t="s">
        <v>184</v>
      </c>
      <c r="N71" s="14">
        <v>8</v>
      </c>
      <c r="O71" s="15" t="s">
        <v>197</v>
      </c>
      <c r="P71" s="15" t="b">
        <f t="shared" si="1"/>
        <v>0</v>
      </c>
      <c r="Q71" s="15" t="str">
        <f>V71:V89</f>
        <v>SeasonRandomBooster</v>
      </c>
      <c r="R71" s="15">
        <f>W71</f>
        <v>5</v>
      </c>
      <c r="S71" s="24"/>
      <c r="T71" s="16" t="b">
        <v>0</v>
      </c>
      <c r="U71" s="15" t="s">
        <v>199</v>
      </c>
      <c r="V71" s="17" t="s">
        <v>198</v>
      </c>
      <c r="W71" s="17">
        <v>5</v>
      </c>
    </row>
    <row r="72" spans="2:23" hidden="1" outlineLevel="1" x14ac:dyDescent="0.25">
      <c r="B72" s="5"/>
      <c r="C72" s="5" t="s">
        <v>184</v>
      </c>
      <c r="D72" s="5" t="str" cm="1">
        <f t="array" ref="D72">_xlfn._xlws.FILTER($O$54:$O$75, ($M$54:$M$75=$C72)*($N$54:$N$75=$J72))</f>
        <v>SeasonLootBoxReward</v>
      </c>
      <c r="E72" s="5"/>
      <c r="F72" s="5"/>
      <c r="G72" s="5" t="b" cm="1">
        <f t="array" ref="G72">_xlfn._xlws.FILTER($P$54:$P$75, (ISBLANK($P$54:$P$75)=FALSE)*($M$54:$M$75=$C72)*($N$54:$N$75=$J72), "")</f>
        <v>0</v>
      </c>
      <c r="H72" s="5" t="str" cm="1">
        <f t="array" ref="H72">_xlfn._xlws.FILTER($Q$54:$Q$75, (ISBLANK($Q$54:$Q$75)=FALSE)*($M$54:$M$75=$C72)*($N$54:$N$75=$J72), "")</f>
        <v>LootBoxGold</v>
      </c>
      <c r="I72" s="5" t="str" cm="1">
        <f t="array" ref="I72">_xlfn._xlws.FILTER($R$54:$R$75, (ISBLANK($R$54:$R$75)=FALSE)*($M$54:$M$75=$C72)*($N$54:$N$75=$J72), "")</f>
        <v/>
      </c>
      <c r="J72">
        <f t="shared" si="7"/>
        <v>4</v>
      </c>
      <c r="M72" s="12" t="s">
        <v>180</v>
      </c>
      <c r="N72" s="14">
        <v>9</v>
      </c>
      <c r="O72" s="15" t="s">
        <v>194</v>
      </c>
      <c r="P72" s="15" t="b">
        <f t="shared" si="1"/>
        <v>0</v>
      </c>
      <c r="Q72" s="15" t="str">
        <f>V72</f>
        <v>Basic</v>
      </c>
      <c r="R72" s="15">
        <f>W72</f>
        <v>1</v>
      </c>
      <c r="S72" s="24">
        <v>600</v>
      </c>
      <c r="T72" s="16" t="b">
        <v>0</v>
      </c>
      <c r="U72" s="15" t="s">
        <v>196</v>
      </c>
      <c r="V72" s="17" t="s">
        <v>195</v>
      </c>
      <c r="W72" s="17">
        <v>1</v>
      </c>
    </row>
    <row r="73" spans="2:23" hidden="1" outlineLevel="1" x14ac:dyDescent="0.25">
      <c r="M73" s="12" t="s">
        <v>184</v>
      </c>
      <c r="N73" s="14">
        <v>9</v>
      </c>
      <c r="O73" s="15" t="s">
        <v>181</v>
      </c>
      <c r="P73" s="15" t="b">
        <f t="shared" si="1"/>
        <v>0</v>
      </c>
      <c r="Q73" s="15" t="str">
        <f>V73</f>
        <v>LootBoxGold</v>
      </c>
      <c r="R73" s="15"/>
      <c r="S73" s="24"/>
      <c r="T73" s="16" t="b">
        <v>0</v>
      </c>
      <c r="U73" s="15" t="s">
        <v>193</v>
      </c>
      <c r="V73" s="17" t="s">
        <v>185</v>
      </c>
      <c r="W73" s="15"/>
    </row>
    <row r="74" spans="2:23" hidden="1" outlineLevel="1" x14ac:dyDescent="0.25">
      <c r="B74" s="8" t="str">
        <f>_xlfn.CONCAT("stage",J74)</f>
        <v>stage5</v>
      </c>
      <c r="C74" s="8" t="s">
        <v>56</v>
      </c>
      <c r="D74" s="8" t="s">
        <v>5</v>
      </c>
      <c r="E74" s="7" t="s">
        <v>178</v>
      </c>
      <c r="F74" s="5"/>
      <c r="G74" s="5"/>
      <c r="H74" s="5"/>
      <c r="I74" s="5"/>
      <c r="J74">
        <v>5</v>
      </c>
      <c r="M74" s="12" t="s">
        <v>180</v>
      </c>
      <c r="N74" s="14">
        <v>10</v>
      </c>
      <c r="O74" s="15" t="s">
        <v>197</v>
      </c>
      <c r="P74" s="15" t="b">
        <f t="shared" si="1"/>
        <v>0</v>
      </c>
      <c r="Q74" s="15" t="str">
        <f t="shared" ref="Q74:Q75" si="8">V74:V92</f>
        <v>SeasonRandomBooster</v>
      </c>
      <c r="R74" s="15">
        <f t="shared" ref="R74:R75" si="9">W74</f>
        <v>3</v>
      </c>
      <c r="S74" s="24">
        <v>650</v>
      </c>
      <c r="T74" s="16" t="b">
        <v>0</v>
      </c>
      <c r="U74" s="15" t="s">
        <v>199</v>
      </c>
      <c r="V74" s="17" t="s">
        <v>198</v>
      </c>
      <c r="W74" s="17">
        <v>3</v>
      </c>
    </row>
    <row r="75" spans="2:23" hidden="1" outlineLevel="1" x14ac:dyDescent="0.25">
      <c r="B75" s="5"/>
      <c r="C75" s="8" t="s">
        <v>179</v>
      </c>
      <c r="D75" s="8" t="s">
        <v>6</v>
      </c>
      <c r="E75" s="8" cm="1">
        <f t="array" ref="E75">_xlfn.TAKE(_xlfn._xlws.FILTER($S$54:$S$75,$N$54:$N$75=J75, TRUE), 1)</f>
        <v>400</v>
      </c>
      <c r="F75" s="5"/>
      <c r="G75" s="5"/>
      <c r="H75" s="5"/>
      <c r="I75" s="5"/>
      <c r="J75">
        <f>J74</f>
        <v>5</v>
      </c>
      <c r="M75" s="12" t="s">
        <v>184</v>
      </c>
      <c r="N75" s="14">
        <v>10</v>
      </c>
      <c r="O75" s="15" t="s">
        <v>197</v>
      </c>
      <c r="P75" s="15" t="b">
        <f t="shared" si="1"/>
        <v>1</v>
      </c>
      <c r="Q75" s="15" t="str">
        <f t="shared" si="8"/>
        <v>SeasonRandomBooster</v>
      </c>
      <c r="R75" s="15">
        <f t="shared" si="9"/>
        <v>5</v>
      </c>
      <c r="S75" s="24"/>
      <c r="T75" s="16" t="b">
        <v>1</v>
      </c>
      <c r="U75" s="15" t="s">
        <v>199</v>
      </c>
      <c r="V75" s="17" t="s">
        <v>198</v>
      </c>
      <c r="W75" s="17">
        <v>5</v>
      </c>
    </row>
    <row r="76" spans="2:23" hidden="1" outlineLevel="1" x14ac:dyDescent="0.25">
      <c r="B76" s="5"/>
      <c r="C76" s="8" t="s">
        <v>180</v>
      </c>
      <c r="D76" s="5" t="str" cm="1">
        <f t="array" ref="D76">_xlfn._xlws.FILTER($O$54:$O$75, ($M$54:$M$75=$C76)*($N$54:$N$75=$J76))</f>
        <v>SeasonLootBoxReward</v>
      </c>
      <c r="E76" s="5"/>
      <c r="F76" s="5"/>
      <c r="G76" s="5" t="b" cm="1">
        <f t="array" ref="G76">_xlfn._xlws.FILTER($P$54:$P$75, (ISBLANK($P$54:$P$75)=FALSE)*($M$54:$M$75=$C76)*($N$54:$N$75=$J76), "")</f>
        <v>0</v>
      </c>
      <c r="H76" s="5" t="str" cm="1">
        <f t="array" ref="H76">_xlfn._xlws.FILTER($Q$54:$Q$75, (ISBLANK($Q$54:$Q$75)=FALSE)*($M$54:$M$75=$C76)*($N$54:$N$75=$J76), "")</f>
        <v>LootBoxGold</v>
      </c>
      <c r="I76" s="5" t="str" cm="1">
        <f t="array" ref="I76">_xlfn._xlws.FILTER($R$54:$R$75, (ISBLANK($R$54:$R$75)=FALSE)*($M$54:$M$75=$C76)*($N$54:$N$75=$J76), "")</f>
        <v/>
      </c>
      <c r="J76">
        <f t="shared" ref="J76:J77" si="10">J75</f>
        <v>5</v>
      </c>
    </row>
    <row r="77" spans="2:23" hidden="1" outlineLevel="1" x14ac:dyDescent="0.25">
      <c r="B77" s="5"/>
      <c r="C77" s="5" t="s">
        <v>184</v>
      </c>
      <c r="D77" s="5" t="str" cm="1">
        <f t="array" ref="D77">_xlfn._xlws.FILTER($O$54:$O$75, ($M$54:$M$75=$C77)*($N$54:$N$75=$J77))</f>
        <v>SeasonWheelTicketsReward</v>
      </c>
      <c r="E77" s="5"/>
      <c r="F77" s="5"/>
      <c r="G77" s="5" t="b" cm="1">
        <f t="array" ref="G77">_xlfn._xlws.FILTER($P$54:$P$75, (ISBLANK($P$54:$P$75)=FALSE)*($M$54:$M$75=$C77)*($N$54:$N$75=$J77), "")</f>
        <v>1</v>
      </c>
      <c r="H77" s="5" t="str" cm="1">
        <f t="array" ref="H77">_xlfn._xlws.FILTER($Q$54:$Q$75, (ISBLANK($Q$54:$Q$75)=FALSE)*($M$54:$M$75=$C77)*($N$54:$N$75=$J77), "")</f>
        <v>Premium</v>
      </c>
      <c r="I77" s="5" cm="1">
        <f t="array" ref="I77">_xlfn._xlws.FILTER($R$54:$R$75, (ISBLANK($R$54:$R$75)=FALSE)*($M$54:$M$75=$C77)*($N$54:$N$75=$J77), "")</f>
        <v>1</v>
      </c>
      <c r="J77">
        <f t="shared" si="10"/>
        <v>5</v>
      </c>
    </row>
    <row r="78" spans="2:23" hidden="1" outlineLevel="1" x14ac:dyDescent="0.25"/>
    <row r="79" spans="2:23" hidden="1" outlineLevel="1" x14ac:dyDescent="0.25">
      <c r="B79" s="8" t="str">
        <f>_xlfn.CONCAT("stage",J79)</f>
        <v>stage6</v>
      </c>
      <c r="C79" s="8" t="s">
        <v>56</v>
      </c>
      <c r="D79" s="8" t="s">
        <v>5</v>
      </c>
      <c r="E79" s="7" t="s">
        <v>178</v>
      </c>
      <c r="F79" s="5"/>
      <c r="G79" s="5"/>
      <c r="H79" s="5"/>
      <c r="I79" s="5"/>
      <c r="J79">
        <v>6</v>
      </c>
    </row>
    <row r="80" spans="2:23" hidden="1" outlineLevel="1" x14ac:dyDescent="0.25">
      <c r="B80" s="5"/>
      <c r="C80" s="8" t="s">
        <v>179</v>
      </c>
      <c r="D80" s="8" t="s">
        <v>6</v>
      </c>
      <c r="E80" s="8" cm="1">
        <f t="array" ref="E80">_xlfn.TAKE(_xlfn._xlws.FILTER($S$54:$S$75,$N$54:$N$75=J80, TRUE), 1)</f>
        <v>450</v>
      </c>
      <c r="F80" s="5"/>
      <c r="G80" s="5"/>
      <c r="H80" s="5"/>
      <c r="I80" s="5"/>
      <c r="J80">
        <f>J79</f>
        <v>6</v>
      </c>
    </row>
    <row r="81" spans="2:10" hidden="1" outlineLevel="1" x14ac:dyDescent="0.25">
      <c r="B81" s="5"/>
      <c r="C81" s="8" t="s">
        <v>180</v>
      </c>
      <c r="D81" s="5" t="str" cm="1">
        <f t="array" ref="D81">_xlfn._xlws.FILTER($O$54:$O$75, ($M$54:$M$75=$C81)*($N$54:$N$75=$J81))</f>
        <v>SeasonCoreRandomBoosterReward</v>
      </c>
      <c r="E81" s="5"/>
      <c r="F81" s="5"/>
      <c r="G81" s="5" t="b" cm="1">
        <f t="array" ref="G81">_xlfn._xlws.FILTER($P$54:$P$75, (ISBLANK($P$54:$P$75)=FALSE)*($M$54:$M$75=$C81)*($N$54:$N$75=$J81), "")</f>
        <v>0</v>
      </c>
      <c r="H81" s="5" t="str" cm="1">
        <f t="array" ref="H81">_xlfn._xlws.FILTER($Q$54:$Q$75, (ISBLANK($Q$54:$Q$75)=FALSE)*($M$54:$M$75=$C81)*($N$54:$N$75=$J81), "")</f>
        <v>SeasonRandomBooster</v>
      </c>
      <c r="I81" s="5" cm="1">
        <f t="array" ref="I81">_xlfn._xlws.FILTER($R$54:$R$75, (ISBLANK($R$54:$R$75)=FALSE)*($M$54:$M$75=$C81)*($N$54:$N$75=$J81), "")</f>
        <v>4</v>
      </c>
      <c r="J81">
        <f t="shared" ref="J81:J82" si="11">J80</f>
        <v>6</v>
      </c>
    </row>
    <row r="82" spans="2:10" hidden="1" outlineLevel="1" x14ac:dyDescent="0.25">
      <c r="B82" s="5"/>
      <c r="C82" s="5" t="s">
        <v>184</v>
      </c>
      <c r="D82" s="5" t="str" cm="1">
        <f t="array" ref="D82">_xlfn._xlws.FILTER($O$54:$O$75, ($M$54:$M$75=$C82)*($N$54:$N$75=$J82))</f>
        <v>SeasonHardReward</v>
      </c>
      <c r="E82" s="5"/>
      <c r="F82" s="5"/>
      <c r="G82" s="5" t="b" cm="1">
        <f t="array" ref="G82">_xlfn._xlws.FILTER($P$54:$P$75, (ISBLANK($P$54:$P$75)=FALSE)*($M$54:$M$75=$C82)*($N$54:$N$75=$J82), "")</f>
        <v>0</v>
      </c>
      <c r="H82" s="5" cm="1">
        <f t="array" ref="H82">_xlfn._xlws.FILTER($Q$54:$Q$75, (ISBLANK($Q$54:$Q$75)=FALSE)*($M$54:$M$75=$C82)*($N$54:$N$75=$J82), "")</f>
        <v>100</v>
      </c>
      <c r="I82" s="5" t="str" cm="1">
        <f t="array" ref="I82">_xlfn._xlws.FILTER($R$54:$R$75, (ISBLANK($R$54:$R$75)=FALSE)*($M$54:$M$75=$C82)*($N$54:$N$75=$J82), "")</f>
        <v/>
      </c>
      <c r="J82">
        <f t="shared" si="11"/>
        <v>6</v>
      </c>
    </row>
    <row r="83" spans="2:10" hidden="1" outlineLevel="1" x14ac:dyDescent="0.25"/>
    <row r="84" spans="2:10" hidden="1" outlineLevel="1" x14ac:dyDescent="0.25">
      <c r="B84" s="8" t="str">
        <f>_xlfn.CONCAT("stage",J84)</f>
        <v>stage7</v>
      </c>
      <c r="C84" s="8" t="s">
        <v>56</v>
      </c>
      <c r="D84" s="8" t="s">
        <v>5</v>
      </c>
      <c r="E84" s="7" t="s">
        <v>178</v>
      </c>
      <c r="F84" s="5"/>
      <c r="G84" s="5"/>
      <c r="H84" s="5"/>
      <c r="I84" s="5"/>
      <c r="J84">
        <v>7</v>
      </c>
    </row>
    <row r="85" spans="2:10" hidden="1" outlineLevel="1" x14ac:dyDescent="0.25">
      <c r="B85" s="5"/>
      <c r="C85" s="8" t="s">
        <v>179</v>
      </c>
      <c r="D85" s="8" t="s">
        <v>6</v>
      </c>
      <c r="E85" s="8" cm="1">
        <f t="array" ref="E85">_xlfn.TAKE(_xlfn._xlws.FILTER($S$54:$S$75,$N$54:$N$75=J85, TRUE), 1)</f>
        <v>500</v>
      </c>
      <c r="F85" s="5"/>
      <c r="G85" s="5"/>
      <c r="H85" s="5"/>
      <c r="I85" s="5"/>
      <c r="J85">
        <f>J84</f>
        <v>7</v>
      </c>
    </row>
    <row r="86" spans="2:10" hidden="1" outlineLevel="1" x14ac:dyDescent="0.25">
      <c r="B86" s="5"/>
      <c r="C86" s="8" t="s">
        <v>180</v>
      </c>
      <c r="D86" s="5" t="str" cm="1">
        <f t="array" ref="D86">_xlfn._xlws.FILTER($O$54:$O$75, ($M$54:$M$75=$C86)*($N$54:$N$75=$J86))</f>
        <v>SeasonHardReward</v>
      </c>
      <c r="E86" s="5"/>
      <c r="F86" s="5"/>
      <c r="G86" s="5" t="b" cm="1">
        <f t="array" ref="G86">_xlfn._xlws.FILTER($P$54:$P$75, (ISBLANK($P$54:$P$75)=FALSE)*($M$54:$M$75=$C86)*($N$54:$N$75=$J86), "")</f>
        <v>0</v>
      </c>
      <c r="H86" s="5" cm="1">
        <f t="array" ref="H86">_xlfn._xlws.FILTER($Q$54:$Q$75, (ISBLANK($Q$54:$Q$75)=FALSE)*($M$54:$M$75=$C86)*($N$54:$N$75=$J86), "")</f>
        <v>100</v>
      </c>
      <c r="I86" s="5" t="str" cm="1">
        <f t="array" ref="I86">_xlfn._xlws.FILTER($R$54:$R$75, (ISBLANK($R$54:$R$75)=FALSE)*($M$54:$M$75=$C86)*($N$54:$N$75=$J86), "")</f>
        <v/>
      </c>
      <c r="J86">
        <f t="shared" ref="J86:J87" si="12">J85</f>
        <v>7</v>
      </c>
    </row>
    <row r="87" spans="2:10" hidden="1" outlineLevel="1" x14ac:dyDescent="0.25">
      <c r="B87" s="5"/>
      <c r="C87" s="5" t="s">
        <v>184</v>
      </c>
      <c r="D87" s="5" t="str" cm="1">
        <f t="array" ref="D87">_xlfn._xlws.FILTER($O$54:$O$75, ($M$54:$M$75=$C87)*($N$54:$N$75=$J87))</f>
        <v>SeasonLootBoxReward</v>
      </c>
      <c r="E87" s="5"/>
      <c r="F87" s="5"/>
      <c r="G87" s="5" t="b" cm="1">
        <f t="array" ref="G87">_xlfn._xlws.FILTER($P$54:$P$75, (ISBLANK($P$54:$P$75)=FALSE)*($M$54:$M$75=$C87)*($N$54:$N$75=$J87), "")</f>
        <v>0</v>
      </c>
      <c r="H87" s="5" t="str" cm="1">
        <f t="array" ref="H87">_xlfn._xlws.FILTER($Q$54:$Q$75, (ISBLANK($Q$54:$Q$75)=FALSE)*($M$54:$M$75=$C87)*($N$54:$N$75=$J87), "")</f>
        <v>LootBoxGold</v>
      </c>
      <c r="I87" s="5" t="str" cm="1">
        <f t="array" ref="I87">_xlfn._xlws.FILTER($R$54:$R$75, (ISBLANK($R$54:$R$75)=FALSE)*($M$54:$M$75=$C87)*($N$54:$N$75=$J87), "")</f>
        <v/>
      </c>
      <c r="J87">
        <f t="shared" si="12"/>
        <v>7</v>
      </c>
    </row>
    <row r="88" spans="2:10" hidden="1" outlineLevel="1" x14ac:dyDescent="0.25"/>
    <row r="89" spans="2:10" hidden="1" outlineLevel="1" x14ac:dyDescent="0.25">
      <c r="B89" s="8" t="str">
        <f>_xlfn.CONCAT("stage",J89)</f>
        <v>stage8</v>
      </c>
      <c r="C89" s="8" t="s">
        <v>56</v>
      </c>
      <c r="D89" s="8" t="s">
        <v>5</v>
      </c>
      <c r="E89" s="7" t="s">
        <v>178</v>
      </c>
      <c r="F89" s="5"/>
      <c r="G89" s="5"/>
      <c r="H89" s="5"/>
      <c r="I89" s="5"/>
      <c r="J89">
        <v>8</v>
      </c>
    </row>
    <row r="90" spans="2:10" hidden="1" outlineLevel="1" x14ac:dyDescent="0.25">
      <c r="B90" s="5"/>
      <c r="C90" s="8" t="s">
        <v>179</v>
      </c>
      <c r="D90" s="8" t="s">
        <v>6</v>
      </c>
      <c r="E90" s="8" cm="1">
        <f t="array" ref="E90">_xlfn.TAKE(_xlfn._xlws.FILTER($S$54:$S$75,$N$54:$N$75=J90, TRUE), 1)</f>
        <v>550</v>
      </c>
      <c r="F90" s="5"/>
      <c r="G90" s="5"/>
      <c r="H90" s="5"/>
      <c r="I90" s="5"/>
      <c r="J90">
        <f>J89</f>
        <v>8</v>
      </c>
    </row>
    <row r="91" spans="2:10" hidden="1" outlineLevel="1" x14ac:dyDescent="0.25">
      <c r="B91" s="5"/>
      <c r="C91" s="8" t="s">
        <v>180</v>
      </c>
      <c r="D91" s="5" t="str" cm="1">
        <f t="array" ref="D91">_xlfn._xlws.FILTER($O$54:$O$75, ($M$54:$M$75=$C91)*($N$54:$N$75=$J91))</f>
        <v>SeasonWheelTicketsReward</v>
      </c>
      <c r="E91" s="5"/>
      <c r="F91" s="5"/>
      <c r="G91" s="5" t="b" cm="1">
        <f t="array" ref="G91">_xlfn._xlws.FILTER($P$54:$P$75, (ISBLANK($P$54:$P$75)=FALSE)*($M$54:$M$75=$C91)*($N$54:$N$75=$J91), "")</f>
        <v>0</v>
      </c>
      <c r="H91" s="5" t="str" cm="1">
        <f t="array" ref="H91">_xlfn._xlws.FILTER($Q$54:$Q$75, (ISBLANK($Q$54:$Q$75)=FALSE)*($M$54:$M$75=$C91)*($N$54:$N$75=$J91), "")</f>
        <v>Basic</v>
      </c>
      <c r="I91" s="5" cm="1">
        <f t="array" ref="I91">_xlfn._xlws.FILTER($R$54:$R$75, (ISBLANK($R$54:$R$75)=FALSE)*($M$54:$M$75=$C91)*($N$54:$N$75=$J91), "")</f>
        <v>1</v>
      </c>
      <c r="J91">
        <f t="shared" ref="J91:J92" si="13">J90</f>
        <v>8</v>
      </c>
    </row>
    <row r="92" spans="2:10" hidden="1" outlineLevel="1" x14ac:dyDescent="0.25">
      <c r="B92" s="5"/>
      <c r="C92" s="5" t="s">
        <v>184</v>
      </c>
      <c r="D92" s="5" t="str" cm="1">
        <f t="array" ref="D92">_xlfn._xlws.FILTER($O$54:$O$75, ($M$54:$M$75=$C92)*($N$54:$N$75=$J92))</f>
        <v>SeasonCoreRandomBoosterReward</v>
      </c>
      <c r="E92" s="5"/>
      <c r="F92" s="5"/>
      <c r="G92" s="5" t="b" cm="1">
        <f t="array" ref="G92">_xlfn._xlws.FILTER($P$54:$P$75, (ISBLANK($P$54:$P$75)=FALSE)*($M$54:$M$75=$C92)*($N$54:$N$75=$J92), "")</f>
        <v>0</v>
      </c>
      <c r="H92" s="5" t="str" cm="1">
        <f t="array" ref="H92">_xlfn._xlws.FILTER($Q$54:$Q$75, (ISBLANK($Q$54:$Q$75)=FALSE)*($M$54:$M$75=$C92)*($N$54:$N$75=$J92), "")</f>
        <v>SeasonRandomBooster</v>
      </c>
      <c r="I92" s="5" cm="1">
        <f t="array" ref="I92">_xlfn._xlws.FILTER($R$54:$R$75, (ISBLANK($R$54:$R$75)=FALSE)*($M$54:$M$75=$C92)*($N$54:$N$75=$J92), "")</f>
        <v>5</v>
      </c>
      <c r="J92">
        <f t="shared" si="13"/>
        <v>8</v>
      </c>
    </row>
    <row r="93" spans="2:10" hidden="1" outlineLevel="1" x14ac:dyDescent="0.25"/>
    <row r="94" spans="2:10" hidden="1" outlineLevel="1" x14ac:dyDescent="0.25">
      <c r="B94" s="8" t="str">
        <f>_xlfn.CONCAT("stage",J94)</f>
        <v>stage9</v>
      </c>
      <c r="C94" s="8" t="s">
        <v>56</v>
      </c>
      <c r="D94" s="8" t="s">
        <v>5</v>
      </c>
      <c r="E94" s="7" t="s">
        <v>178</v>
      </c>
      <c r="F94" s="5"/>
      <c r="G94" s="5"/>
      <c r="H94" s="5"/>
      <c r="I94" s="5"/>
      <c r="J94">
        <v>9</v>
      </c>
    </row>
    <row r="95" spans="2:10" hidden="1" outlineLevel="1" x14ac:dyDescent="0.25">
      <c r="B95" s="5"/>
      <c r="C95" s="8" t="s">
        <v>179</v>
      </c>
      <c r="D95" s="8" t="s">
        <v>6</v>
      </c>
      <c r="E95" s="8" cm="1">
        <f t="array" ref="E95">_xlfn.TAKE(_xlfn._xlws.FILTER($S$54:$S$75,$N$54:$N$75=J95, TRUE), 1)</f>
        <v>600</v>
      </c>
      <c r="F95" s="5"/>
      <c r="G95" s="5"/>
      <c r="H95" s="5"/>
      <c r="I95" s="5"/>
      <c r="J95">
        <f>J94</f>
        <v>9</v>
      </c>
    </row>
    <row r="96" spans="2:10" hidden="1" outlineLevel="1" x14ac:dyDescent="0.25">
      <c r="B96" s="5"/>
      <c r="C96" s="8" t="s">
        <v>180</v>
      </c>
      <c r="D96" s="5" t="str" cm="1">
        <f t="array" ref="D96">_xlfn._xlws.FILTER($O$54:$O$75, ($M$54:$M$75=$C96)*($N$54:$N$75=$J96))</f>
        <v>SeasonWheelTicketsReward</v>
      </c>
      <c r="E96" s="5"/>
      <c r="F96" s="5"/>
      <c r="G96" s="5" t="b" cm="1">
        <f t="array" ref="G96">_xlfn._xlws.FILTER($P$54:$P$75, (ISBLANK($P$54:$P$75)=FALSE)*($M$54:$M$75=$C96)*($N$54:$N$75=$J96), "")</f>
        <v>0</v>
      </c>
      <c r="H96" s="5" t="str" cm="1">
        <f t="array" ref="H96">_xlfn._xlws.FILTER($Q$54:$Q$75, (ISBLANK($Q$54:$Q$75)=FALSE)*($M$54:$M$75=$C96)*($N$54:$N$75=$J96), "")</f>
        <v>Basic</v>
      </c>
      <c r="I96" s="5" cm="1">
        <f t="array" ref="I96">_xlfn._xlws.FILTER($R$54:$R$75, (ISBLANK($R$54:$R$75)=FALSE)*($M$54:$M$75=$C96)*($N$54:$N$75=$J96), "")</f>
        <v>1</v>
      </c>
      <c r="J96">
        <f t="shared" ref="J96:J97" si="14">J95</f>
        <v>9</v>
      </c>
    </row>
    <row r="97" spans="2:10" hidden="1" outlineLevel="1" x14ac:dyDescent="0.25">
      <c r="B97" s="5"/>
      <c r="C97" s="5" t="s">
        <v>184</v>
      </c>
      <c r="D97" s="5" t="str" cm="1">
        <f t="array" ref="D97">_xlfn._xlws.FILTER($O$54:$O$75, ($M$54:$M$75=$C97)*($N$54:$N$75=$J97))</f>
        <v>SeasonLootBoxReward</v>
      </c>
      <c r="E97" s="5"/>
      <c r="F97" s="5"/>
      <c r="G97" s="5" t="b" cm="1">
        <f t="array" ref="G97">_xlfn._xlws.FILTER($P$54:$P$75, (ISBLANK($P$54:$P$75)=FALSE)*($M$54:$M$75=$C97)*($N$54:$N$75=$J97), "")</f>
        <v>0</v>
      </c>
      <c r="H97" s="5" t="str" cm="1">
        <f t="array" ref="H97">_xlfn._xlws.FILTER($Q$54:$Q$75, (ISBLANK($Q$54:$Q$75)=FALSE)*($M$54:$M$75=$C97)*($N$54:$N$75=$J97), "")</f>
        <v>LootBoxGold</v>
      </c>
      <c r="I97" s="5" t="str" cm="1">
        <f t="array" ref="I97">_xlfn._xlws.FILTER($R$54:$R$75, (ISBLANK($R$54:$R$75)=FALSE)*($M$54:$M$75=$C97)*($N$54:$N$75=$J97), "")</f>
        <v/>
      </c>
      <c r="J97">
        <f t="shared" si="14"/>
        <v>9</v>
      </c>
    </row>
    <row r="98" spans="2:10" hidden="1" outlineLevel="1" x14ac:dyDescent="0.25"/>
    <row r="99" spans="2:10" hidden="1" outlineLevel="1" x14ac:dyDescent="0.25">
      <c r="B99" s="8" t="str">
        <f>_xlfn.CONCAT("stage",J99)</f>
        <v>stage10</v>
      </c>
      <c r="C99" s="8" t="s">
        <v>56</v>
      </c>
      <c r="D99" s="8" t="s">
        <v>5</v>
      </c>
      <c r="E99" s="7" t="s">
        <v>178</v>
      </c>
      <c r="F99" s="5"/>
      <c r="G99" s="5"/>
      <c r="H99" s="5"/>
      <c r="I99" s="5"/>
      <c r="J99">
        <v>10</v>
      </c>
    </row>
    <row r="100" spans="2:10" hidden="1" outlineLevel="1" x14ac:dyDescent="0.25">
      <c r="B100" s="5"/>
      <c r="C100" s="8" t="s">
        <v>179</v>
      </c>
      <c r="D100" s="8" t="s">
        <v>6</v>
      </c>
      <c r="E100" s="8" cm="1">
        <f t="array" ref="E100">_xlfn.TAKE(_xlfn._xlws.FILTER($S$54:$S$75,$N$54:$N$75=J100, TRUE), 1)</f>
        <v>650</v>
      </c>
      <c r="F100" s="5"/>
      <c r="G100" s="5"/>
      <c r="H100" s="5"/>
      <c r="I100" s="5"/>
      <c r="J100">
        <f>J99</f>
        <v>10</v>
      </c>
    </row>
    <row r="101" spans="2:10" hidden="1" outlineLevel="1" x14ac:dyDescent="0.25">
      <c r="B101" s="5"/>
      <c r="C101" s="8" t="s">
        <v>180</v>
      </c>
      <c r="D101" s="5" t="str" cm="1">
        <f t="array" ref="D101">_xlfn._xlws.FILTER($O$54:$O$75, ($M$54:$M$75=$C101)*($N$54:$N$75=$J101))</f>
        <v>SeasonCoreRandomBoosterReward</v>
      </c>
      <c r="E101" s="5"/>
      <c r="F101" s="5"/>
      <c r="G101" s="5" t="b" cm="1">
        <f t="array" ref="G101">_xlfn._xlws.FILTER($P$54:$P$75, (ISBLANK($P$54:$P$75)=FALSE)*($M$54:$M$75=$C101)*($N$54:$N$75=$J101), "")</f>
        <v>0</v>
      </c>
      <c r="H101" s="5" t="str" cm="1">
        <f t="array" ref="H101">_xlfn._xlws.FILTER($Q$54:$Q$75, (ISBLANK($Q$54:$Q$75)=FALSE)*($M$54:$M$75=$C101)*($N$54:$N$75=$J101), "")</f>
        <v>SeasonRandomBooster</v>
      </c>
      <c r="I101" s="5" cm="1">
        <f t="array" ref="I101">_xlfn._xlws.FILTER($R$54:$R$75, (ISBLANK($R$54:$R$75)=FALSE)*($M$54:$M$75=$C101)*($N$54:$N$75=$J101), "")</f>
        <v>3</v>
      </c>
      <c r="J101">
        <f t="shared" ref="J101:J102" si="15">J100</f>
        <v>10</v>
      </c>
    </row>
    <row r="102" spans="2:10" hidden="1" outlineLevel="1" x14ac:dyDescent="0.25">
      <c r="B102" s="5"/>
      <c r="C102" s="5" t="s">
        <v>184</v>
      </c>
      <c r="D102" s="5" t="str" cm="1">
        <f t="array" ref="D102">_xlfn._xlws.FILTER($O$54:$O$75, ($M$54:$M$75=$C102)*($N$54:$N$75=$J102))</f>
        <v>SeasonCoreRandomBoosterReward</v>
      </c>
      <c r="E102" s="5"/>
      <c r="F102" s="5"/>
      <c r="G102" s="5" t="b" cm="1">
        <f t="array" ref="G102">_xlfn._xlws.FILTER($P$54:$P$75, (ISBLANK($P$54:$P$75)=FALSE)*($M$54:$M$75=$C102)*($N$54:$N$75=$J102), "")</f>
        <v>1</v>
      </c>
      <c r="H102" s="5" t="str" cm="1">
        <f t="array" ref="H102">_xlfn._xlws.FILTER($Q$54:$Q$75, (ISBLANK($Q$54:$Q$75)=FALSE)*($M$54:$M$75=$C102)*($N$54:$N$75=$J102), "")</f>
        <v>SeasonRandomBooster</v>
      </c>
      <c r="I102" s="5" cm="1">
        <f t="array" ref="I102">_xlfn._xlws.FILTER($R$54:$R$75, (ISBLANK($R$54:$R$75)=FALSE)*($M$54:$M$75=$C102)*($N$54:$N$75=$J102), "")</f>
        <v>5</v>
      </c>
      <c r="J102">
        <f t="shared" si="15"/>
        <v>10</v>
      </c>
    </row>
  </sheetData>
  <autoFilter ref="M53:W75" xr:uid="{90B4032F-FD98-457B-B53A-409A5704420A}"/>
  <mergeCells count="19">
    <mergeCell ref="B45:L45"/>
    <mergeCell ref="B5:L5"/>
    <mergeCell ref="B18:L18"/>
    <mergeCell ref="B19:L19"/>
    <mergeCell ref="B28:L28"/>
    <mergeCell ref="B7:L7"/>
    <mergeCell ref="S74:S75"/>
    <mergeCell ref="B47:I47"/>
    <mergeCell ref="O52:R52"/>
    <mergeCell ref="S54:S55"/>
    <mergeCell ref="S56:S57"/>
    <mergeCell ref="S58:S59"/>
    <mergeCell ref="S60:S61"/>
    <mergeCell ref="S62:S63"/>
    <mergeCell ref="S64:S65"/>
    <mergeCell ref="S66:S67"/>
    <mergeCell ref="S68:S69"/>
    <mergeCell ref="S70:S71"/>
    <mergeCell ref="S72:S7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AliasFuncsLvl0</vt:lpstr>
      <vt:lpstr>AliasFuncsLvl1</vt:lpstr>
      <vt:lpstr>Lvl0</vt:lpstr>
      <vt:lpstr>Lvl1</vt:lpstr>
      <vt:lpstr>Lvl2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Skladchikov</dc:creator>
  <cp:lastModifiedBy>Igor Skladchikov</cp:lastModifiedBy>
  <cp:lastPrinted>2026-05-26T11:37:53Z</cp:lastPrinted>
  <dcterms:created xsi:type="dcterms:W3CDTF">2015-06-05T18:17:20Z</dcterms:created>
  <dcterms:modified xsi:type="dcterms:W3CDTF">2026-05-26T14:21:09Z</dcterms:modified>
</cp:coreProperties>
</file>